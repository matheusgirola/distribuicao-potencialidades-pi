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1 Est Subclasses" sheetId="2" state="visible" r:id="rId4"/>
    <sheet name="3 CERIE Subclasses" sheetId="3" state="visible" r:id="rId5"/>
    <sheet name="2 Est Pares" sheetId="4" state="visible" r:id="rId6"/>
    <sheet name="4 CERIE Pares" sheetId="5" state="visible" r:id="rId7"/>
    <sheet name="5 Base Municipal" sheetId="6" state="visible" r:id="rId8"/>
    <sheet name="6 Indicadores" sheetId="7" state="visible" r:id="rId9"/>
    <sheet name="7 Duplo Nucleo" sheetId="8" state="visible" r:id="rId10"/>
  </sheets>
  <definedNames>
    <definedName function="false" hidden="true" localSheetId="1" name="_xlnm._FilterDatabase" vbProcedure="false">'1 Est Subclasses'!$A$2:$K$122</definedName>
    <definedName function="false" hidden="true" localSheetId="3" name="_xlnm._FilterDatabase" vbProcedure="false">'2 Est Pares'!$A$2:$G$342</definedName>
    <definedName function="false" hidden="true" localSheetId="2" name="_xlnm._FilterDatabase" vbProcedure="false">'3 CERIE Subclasses'!$A$2:$K$89</definedName>
    <definedName function="false" hidden="true" localSheetId="4" name="_xlnm._FilterDatabase" vbProcedure="false">'4 CERIE Pares'!$A$2:$G$52</definedName>
    <definedName function="false" hidden="true" localSheetId="5" name="_xlnm._FilterDatabase" vbProcedure="false">'5 Base Municipal'!$A$2:$F$226</definedName>
    <definedName function="false" hidden="true" localSheetId="7" name="_xlnm._FilterDatabase" vbProcedure="false">'7 Duplo Nucleo'!$A$2:$H$34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<sst xmlns="http://schemas.openxmlformats.org/spreadsheetml/2006/main" count="1365" uniqueCount="480">
  <si>
    <t xml:space="preserve">Planilha de apoio — Análise de agrupamentos espaciais das potencialidades T1 e T2 — Piauí</t>
  </si>
  <si>
    <t xml:space="preserve">OBJETIVO — Base dos dois relatórios analíticos: (i) pipeline de estoques (intensidade: estoque municipal no ano final, log1p; fontes PAM, PPM, PEVS e RAIS) e (ii) pipeline shift-share (intensidade: CE+RIE do emprego formal RAIS, log sinalizada). Recorte: classes de potencialidade T1 e T2, três janelas de comparação (bases 2013, 2018 e 2022), deduplicação pelo maior valor de intensidade por par município–subclasse.</t>
  </si>
  <si>
    <t xml:space="preserve">MÉTODO — LISA univariado (I de Moran local) e I de Moran bivariado, matriz Queen padronizada por linha, 999 permutações condicionais, semente 42, p &lt; 0,05; subclasses elegíveis com presença em ≥ 10 municípios; pares com ≥ 5 municípios copresentes. Robustez: (a) FDR de Benjamini–Hochberg com 9.999 permutações; (b) manutenção do resultado sob quatro matrizes alternativas de vizinhança (KNN-5, distância inversa euclidiana, distância rodoviária sobre a malha DNIT/DER-PI e tempo de viagem OpenRouteService/OpenStreetMap). O núcleo robusto de pares exige os dois critérios simultaneamente, com subclasse focal significativa e I bivariado positivo.</t>
  </si>
  <si>
    <t xml:space="preserve">RESSALVAS — Tempos de viagem modelados (não observados); quatro municípios com tempos imputados (R² = 0,933); no pipeline CE+RIE, Pau D’Arco do Piauí e Pedro Laurentino não registram potencialidade classificada com decomposição válida. A coluna Pós-FDR conta municípios significativos em qualquer quadrante (inclui núcleos Baixo-Baixo de ausência conjunta) e usa 9.999 permutações, não sendo diretamente comparável às colunas de 999.</t>
  </si>
  <si>
    <t xml:space="preserve">CONVENÇÃO DE CORES — Azul: valor extraído dos pipelines do projeto (não editar). Preto: calculado por fórmula nesta planilha; recalcula ao alterar os dados.</t>
  </si>
  <si>
    <t xml:space="preserve">ÍNDICE — 1 Est Subclasses: LISA univariado por subclasse, pipeline de estoques (120 linhas). 2 Est Pares: núcleo robusto de pares do pipeline de estoques (340). 3 CERIE Subclasses: idem para o pipeline shift-share (87). 4 CERIE Pares: núcleo robusto CE+RIE (50). 5 Base Municipal: os 224 municípios e suas contagens de núcleos AA. 6 Indicadores: sínteses calculadas por fórmula. 7 Duplo Nucleo: os 32 pares presentes nos dois núcleos robustos, com os municípios em que os núcleos Alto-Alto dos dois pipelines coincidem.</t>
  </si>
  <si>
    <t xml:space="preserve">Fonte: elaboração própria a partir de IBGE (PAM, PPM, PEVS, Malha Municipal 2025) e RAIS/MTE (2025); matrizes de vizinhança DNIT/DER-PI e OpenRouteService. Extração em 06/08/2026.</t>
  </si>
  <si>
    <t xml:space="preserve">Pipeline de estoques — LISA univariado por subclasse (T1+T2, base v2)</t>
  </si>
  <si>
    <t xml:space="preserve">Subclasse</t>
  </si>
  <si>
    <t xml:space="preserve">Municípios presentes</t>
  </si>
  <si>
    <t xml:space="preserve">I de Moran global</t>
  </si>
  <si>
    <t xml:space="preserve">p (999 perm.)</t>
  </si>
  <si>
    <t xml:space="preserve">Significativa (p&lt;0,05)</t>
  </si>
  <si>
    <t xml:space="preserve">Municípios sig. (999 p.)</t>
  </si>
  <si>
    <t xml:space="preserve">Núcleos AA</t>
  </si>
  <si>
    <t xml:space="preserve">Sig. nominais (9.999 p.)</t>
  </si>
  <si>
    <t xml:space="preserve">Pós-FDR (9.999 p.)</t>
  </si>
  <si>
    <t xml:space="preserve">Robustos às 4 W alt.</t>
  </si>
  <si>
    <t xml:space="preserve">Taxa de robustez (%)</t>
  </si>
  <si>
    <t xml:space="preserve">Administração pública em geral</t>
  </si>
  <si>
    <t xml:space="preserve">Alimentícios</t>
  </si>
  <si>
    <t xml:space="preserve">Aparelhamento de placas e execução de trabalhos em mármore, granito, ardósia e outras pedras</t>
  </si>
  <si>
    <t xml:space="preserve">Arroz em casca</t>
  </si>
  <si>
    <t xml:space="preserve">Atividade médica ambulatorial com recursos para realização de exames complementares</t>
  </si>
  <si>
    <t xml:space="preserve">Atividade médica ambulatorial restrita a consultas</t>
  </si>
  <si>
    <t xml:space="preserve">Atividade odontológica com recursos para realização de procedimentos cirúrgicos</t>
  </si>
  <si>
    <t xml:space="preserve">Atividades de apoio à agricultura não especificadas anteriormente</t>
  </si>
  <si>
    <t xml:space="preserve">Atividades de associações de defesa de direitos sociais</t>
  </si>
  <si>
    <t xml:space="preserve">Atividades de atendimento hospitalar, exceto pronto-socorro e unidades para atendimento a urgências</t>
  </si>
  <si>
    <t xml:space="preserve">Atividades de cobrança e informações cadastrais</t>
  </si>
  <si>
    <t xml:space="preserve">Atividades de condicionamento físico</t>
  </si>
  <si>
    <t xml:space="preserve">Atividades de consultoria em gestão empresarial, exceto consultoria técnica específica</t>
  </si>
  <si>
    <t xml:space="preserve">Atividades de contabilidade</t>
  </si>
  <si>
    <t xml:space="preserve">Atividades de organizações religiosas</t>
  </si>
  <si>
    <t xml:space="preserve">Atividades do Correio Nacional</t>
  </si>
  <si>
    <t xml:space="preserve">Babaçu amêndoa</t>
  </si>
  <si>
    <t xml:space="preserve">Banana cacho</t>
  </si>
  <si>
    <t xml:space="preserve">Bancos múltiplos, com carteira comercial</t>
  </si>
  <si>
    <t xml:space="preserve">Bovino</t>
  </si>
  <si>
    <t xml:space="preserve">Caixas econômicas</t>
  </si>
  <si>
    <t xml:space="preserve">Cana de açúcar</t>
  </si>
  <si>
    <t xml:space="preserve">Caprino</t>
  </si>
  <si>
    <t xml:space="preserve">Carnaúba pó</t>
  </si>
  <si>
    <t xml:space="preserve">Cartórios</t>
  </si>
  <si>
    <t xml:space="preserve">Carvão vegetal</t>
  </si>
  <si>
    <t xml:space="preserve">Casas lotéricas</t>
  </si>
  <si>
    <t xml:space="preserve">Castanha de caju</t>
  </si>
  <si>
    <t xml:space="preserve">Ceras</t>
  </si>
  <si>
    <t xml:space="preserve">Coleta de resíduos não-perigosos</t>
  </si>
  <si>
    <t xml:space="preserve">Comercio varejista de artigos de armarinho</t>
  </si>
  <si>
    <t xml:space="preserve">Comercio varejista de artigos de cama, mesa e banho</t>
  </si>
  <si>
    <t xml:space="preserve">Comércio a varejo de motocicletas e motonetas novas</t>
  </si>
  <si>
    <t xml:space="preserve">Comércio a varejo de peças e acessórios novos para motocicletas e motonetas</t>
  </si>
  <si>
    <t xml:space="preserve">Comércio a varejo de peças e acessórios novos para veículos automotores</t>
  </si>
  <si>
    <t xml:space="preserve">Comércio a varejo de pneumáticos e câmaras-de-ar</t>
  </si>
  <si>
    <t xml:space="preserve">Comércio atacadista de cereais e leguminosas beneficiados</t>
  </si>
  <si>
    <t xml:space="preserve">Comércio atacadista de mercadorias em geral, com predominância de produtos alimentícios</t>
  </si>
  <si>
    <t xml:space="preserve">Comércio varejista de animais vivos e de artigos e alimentos para animais de estimação</t>
  </si>
  <si>
    <t xml:space="preserve">Comércio varejista de artigos de papelaria</t>
  </si>
  <si>
    <t xml:space="preserve">Comércio varejista de artigos de óptica</t>
  </si>
  <si>
    <t xml:space="preserve">Comércio varejista de artigos do vestuário e acessórios</t>
  </si>
  <si>
    <t xml:space="preserve">Comércio varejista de bebidas</t>
  </si>
  <si>
    <t xml:space="preserve">Comércio varejista de calçados</t>
  </si>
  <si>
    <t xml:space="preserve">Comércio varejista de carnes - açougues</t>
  </si>
  <si>
    <t xml:space="preserve">Comércio varejista de combustíveis para veículos automotores</t>
  </si>
  <si>
    <t xml:space="preserve">Comércio varejista de cosméticos, produtos de perfumaria e de higiene pessoal</t>
  </si>
  <si>
    <t xml:space="preserve">Comércio varejista de ferragens e ferramentas</t>
  </si>
  <si>
    <t xml:space="preserve">Comércio varejista de gás liqüefeito de petróleo (GLP)</t>
  </si>
  <si>
    <t xml:space="preserve">Comércio varejista de hortifrutigranjeiros</t>
  </si>
  <si>
    <t xml:space="preserve">Comércio varejista de madeira e artefatos</t>
  </si>
  <si>
    <t xml:space="preserve">Comércio varejista de materiais de construção em geral</t>
  </si>
  <si>
    <t xml:space="preserve">Comércio varejista de materiais de construção não especificados anteriormente</t>
  </si>
  <si>
    <t xml:space="preserve">Comércio varejista de medicamentos veterinários</t>
  </si>
  <si>
    <t xml:space="preserve">Comércio varejista de mercadorias em geral, com predominância de produtos alimentícios - hipermercados</t>
  </si>
  <si>
    <t xml:space="preserve">Comércio varejista de mercadorias em geral, com predominância de produtos alimentícios - minimercados, mercearias e armazéns</t>
  </si>
  <si>
    <t xml:space="preserve">Comércio varejista de mercadorias em geral, com predominância de produtos alimentícios - supermercados</t>
  </si>
  <si>
    <t xml:space="preserve">Comércio varejista de mercadorias em lojas de conveniência</t>
  </si>
  <si>
    <t xml:space="preserve">Comércio varejista de móveis</t>
  </si>
  <si>
    <t xml:space="preserve">Comércio varejista de produtos alimentícios em geral ou especializado em produtos alimentícios não especificados anteriormente</t>
  </si>
  <si>
    <t xml:space="preserve">Comércio varejista de produtos farmacêuticos, com manipulação de fórmulas</t>
  </si>
  <si>
    <t xml:space="preserve">Comércio varejista de produtos farmacêuticos, sem manipulação de fórmulas</t>
  </si>
  <si>
    <t xml:space="preserve">Comércio varejista de suvenires, bijuterias e artesanatos</t>
  </si>
  <si>
    <t xml:space="preserve">Comércio varejista de tecidos</t>
  </si>
  <si>
    <t xml:space="preserve">Comércio varejista especializado de eletrodomésticos e equipamentos de áudio e vídeo</t>
  </si>
  <si>
    <t xml:space="preserve">Comércio varejista especializado de equipamentos de telefonia e comunicação</t>
  </si>
  <si>
    <t xml:space="preserve">Comércio varejista especializado de equipamentos e suprimentos de informática</t>
  </si>
  <si>
    <t xml:space="preserve">Construção de edifícios</t>
  </si>
  <si>
    <t xml:space="preserve">Construção de rodovias e ferrovias</t>
  </si>
  <si>
    <t xml:space="preserve">Criação de bovinos para corte</t>
  </si>
  <si>
    <t xml:space="preserve">Criação de frangos para corte</t>
  </si>
  <si>
    <t xml:space="preserve">Cultivo de arroz</t>
  </si>
  <si>
    <t xml:space="preserve">Cultivo de soja</t>
  </si>
  <si>
    <t xml:space="preserve">Educação infantil - pré-escola</t>
  </si>
  <si>
    <t xml:space="preserve">Ensino fundamental</t>
  </si>
  <si>
    <t xml:space="preserve">Equino</t>
  </si>
  <si>
    <t xml:space="preserve">Fabricação de alimentos para animais</t>
  </si>
  <si>
    <t xml:space="preserve">Fabricação de artefatos de cerâmica e barro cozido para uso na construção, exceto azulejos e pisos</t>
  </si>
  <si>
    <t xml:space="preserve">Fabricação de móveis com predominância de madeira</t>
  </si>
  <si>
    <t xml:space="preserve">Fabricação de produtos de padaria e confeitaria com predominância de produção própria</t>
  </si>
  <si>
    <t xml:space="preserve">Fabricação de produtos de panificação industrial</t>
  </si>
  <si>
    <t xml:space="preserve">Fabricação de águas envasadas</t>
  </si>
  <si>
    <t xml:space="preserve">Fava em grão</t>
  </si>
  <si>
    <t xml:space="preserve">Feijão em grão</t>
  </si>
  <si>
    <t xml:space="preserve">Formação de condutores</t>
  </si>
  <si>
    <t xml:space="preserve">Galináceos total</t>
  </si>
  <si>
    <t xml:space="preserve">Hotéis</t>
  </si>
  <si>
    <t xml:space="preserve">Laboratórios clínicos</t>
  </si>
  <si>
    <t xml:space="preserve">Lanchonetes, casas de chá, de sucos e similares</t>
  </si>
  <si>
    <t xml:space="preserve">Leite</t>
  </si>
  <si>
    <t xml:space="preserve">Lenha</t>
  </si>
  <si>
    <t xml:space="preserve">Lojas de departamentos ou magazines, exceto lojas francas (Duty free)</t>
  </si>
  <si>
    <t xml:space="preserve">Lojas de variedades, exceto lojas de departamentos ou magazines</t>
  </si>
  <si>
    <t xml:space="preserve">Madeira em tora</t>
  </si>
  <si>
    <t xml:space="preserve">Mandioca</t>
  </si>
  <si>
    <t xml:space="preserve">Manga</t>
  </si>
  <si>
    <t xml:space="preserve">Mel de abelha</t>
  </si>
  <si>
    <t xml:space="preserve">Melancia</t>
  </si>
  <si>
    <t xml:space="preserve">Milho em grão</t>
  </si>
  <si>
    <t xml:space="preserve">Obras de urbanização - ruas, praças e calçadas</t>
  </si>
  <si>
    <t xml:space="preserve">Oleaginosos</t>
  </si>
  <si>
    <t xml:space="preserve">Outros peixes</t>
  </si>
  <si>
    <t xml:space="preserve">Ovino</t>
  </si>
  <si>
    <t xml:space="preserve">Ovos de galinha</t>
  </si>
  <si>
    <t xml:space="preserve">Padaria e confeitaria com predominância de revenda</t>
  </si>
  <si>
    <t xml:space="preserve">Provedores de acesso às redes de comunicações</t>
  </si>
  <si>
    <t xml:space="preserve">Restaurantes e similares</t>
  </si>
  <si>
    <t xml:space="preserve">Serviços advocatícios</t>
  </si>
  <si>
    <t xml:space="preserve">Serviços combinados de escritório e apoio administrativo</t>
  </si>
  <si>
    <t xml:space="preserve">Serviços de comunicação multimídia - SCM</t>
  </si>
  <si>
    <t xml:space="preserve">Serviços de engenharia</t>
  </si>
  <si>
    <t xml:space="preserve">Serviços de funerárias</t>
  </si>
  <si>
    <t xml:space="preserve">Serviços de manutenção e reparação mecânica de veículos automotores</t>
  </si>
  <si>
    <t xml:space="preserve">Soja em grão</t>
  </si>
  <si>
    <t xml:space="preserve">Suíno total</t>
  </si>
  <si>
    <t xml:space="preserve">Tambacu tambatinga</t>
  </si>
  <si>
    <t xml:space="preserve">Tambaqui</t>
  </si>
  <si>
    <t xml:space="preserve">Tilápia</t>
  </si>
  <si>
    <t xml:space="preserve">Transporte rodoviário de carga, exceto produtos perigosos e mudanças, intermunicipal, interestadual e internacional</t>
  </si>
  <si>
    <t xml:space="preserve">Tucum amêndoa</t>
  </si>
  <si>
    <t xml:space="preserve">Total</t>
  </si>
  <si>
    <t xml:space="preserve">Pipeline shift-share (CE+RIE) — LISA univariado por subclasse (T1+T2)</t>
  </si>
  <si>
    <t xml:space="preserve">Pipeline de estoques — núcleo robusto de pares (FDR e 4 matrizes alternativas)</t>
  </si>
  <si>
    <t xml:space="preserve">#</t>
  </si>
  <si>
    <t xml:space="preserve">Subclasse focal (x)</t>
  </si>
  <si>
    <t xml:space="preserve">Subclasse parceira (lag y)</t>
  </si>
  <si>
    <t xml:space="preserve">I bivariado (Queen)</t>
  </si>
  <si>
    <t xml:space="preserve">p (9.999 perm.)</t>
  </si>
  <si>
    <t xml:space="preserve">Copresentes</t>
  </si>
  <si>
    <t xml:space="preserve">Cultivo de milho</t>
  </si>
  <si>
    <t xml:space="preserve">Condomínios prediais</t>
  </si>
  <si>
    <t xml:space="preserve">Bares e outros estabelecimentos especializados em servir bebidas, sem entretenimento</t>
  </si>
  <si>
    <t xml:space="preserve">Umbu fruto</t>
  </si>
  <si>
    <t xml:space="preserve">Serviço de preparação de terreno, cultivo e colheita</t>
  </si>
  <si>
    <t xml:space="preserve">Promoção de vendas</t>
  </si>
  <si>
    <t xml:space="preserve">Atividades de organizações sindicais</t>
  </si>
  <si>
    <t xml:space="preserve">Atividades de apoio à pecuária não especificadas anteriormente</t>
  </si>
  <si>
    <t xml:space="preserve">Manutenção e reparação de motocicletas e motonetas</t>
  </si>
  <si>
    <t xml:space="preserve">Seleção e agenciamento de mão-de-obra</t>
  </si>
  <si>
    <t xml:space="preserve">Comércio varejista especializado de peças e acessórios para aparelhos eletroeletrônicos para uso doméstico, exceto informática e comunicação</t>
  </si>
  <si>
    <t xml:space="preserve">Comércio atacadista de produtos de higiene, limpeza e conservação domiciliar</t>
  </si>
  <si>
    <t xml:space="preserve">Agências de viagens</t>
  </si>
  <si>
    <t xml:space="preserve">Comércio varejista de material elétrico</t>
  </si>
  <si>
    <t xml:space="preserve">Pipeline shift-share (CE+RIE) — núcleo robusto de pares (FDR e 4 matrizes alternativas)</t>
  </si>
  <si>
    <t xml:space="preserve">Base municipal — participação em núcleos Alto-Alto significativos (Queen, 999 perm.)</t>
  </si>
  <si>
    <t xml:space="preserve">Município</t>
  </si>
  <si>
    <t xml:space="preserve">Estoque: subclasses em núcleo AA</t>
  </si>
  <si>
    <t xml:space="preserve">Estoque: pares robustos c/ núcleo AA</t>
  </si>
  <si>
    <t xml:space="preserve">CE+RIE: subclasses em núcleo AA</t>
  </si>
  <si>
    <t xml:space="preserve">CE+RIE: pares robustos c/ núcleo AA</t>
  </si>
  <si>
    <t xml:space="preserve">Total (soma)</t>
  </si>
  <si>
    <t xml:space="preserve">Acauã</t>
  </si>
  <si>
    <t xml:space="preserve">Agricolândia</t>
  </si>
  <si>
    <t xml:space="preserve">Água Branca</t>
  </si>
  <si>
    <t xml:space="preserve">Alagoinha do Piauí</t>
  </si>
  <si>
    <t xml:space="preserve">Alegrete do Piauí</t>
  </si>
  <si>
    <t xml:space="preserve">Alto Longá</t>
  </si>
  <si>
    <t xml:space="preserve">Altos</t>
  </si>
  <si>
    <t xml:space="preserve">Alvorada do Gurguéia</t>
  </si>
  <si>
    <t xml:space="preserve">Amarante</t>
  </si>
  <si>
    <t xml:space="preserve">Angical do Piauí</t>
  </si>
  <si>
    <t xml:space="preserve">Anísio de Abreu</t>
  </si>
  <si>
    <t xml:space="preserve">Antônio Almeida</t>
  </si>
  <si>
    <t xml:space="preserve">Aroazes</t>
  </si>
  <si>
    <t xml:space="preserve">Aroeiras do Itaim</t>
  </si>
  <si>
    <t xml:space="preserve">Arraial</t>
  </si>
  <si>
    <t xml:space="preserve">Assunção do Piauí</t>
  </si>
  <si>
    <t xml:space="preserve">Avelino Lopes</t>
  </si>
  <si>
    <t xml:space="preserve">Baixa Grande do Ribeiro</t>
  </si>
  <si>
    <t xml:space="preserve">Barra D'Alcântara</t>
  </si>
  <si>
    <t xml:space="preserve">Barras</t>
  </si>
  <si>
    <t xml:space="preserve">Barreiras do Piauí</t>
  </si>
  <si>
    <t xml:space="preserve">Barro Duro</t>
  </si>
  <si>
    <t xml:space="preserve">Batalha</t>
  </si>
  <si>
    <t xml:space="preserve">Bela Vista do Piauí</t>
  </si>
  <si>
    <t xml:space="preserve">Belém do Piauí</t>
  </si>
  <si>
    <t xml:space="preserve">Beneditinos</t>
  </si>
  <si>
    <t xml:space="preserve">Bertolínia</t>
  </si>
  <si>
    <t xml:space="preserve">Betânia do Piauí</t>
  </si>
  <si>
    <t xml:space="preserve">Boa Hora</t>
  </si>
  <si>
    <t xml:space="preserve">Bocaina</t>
  </si>
  <si>
    <t xml:space="preserve">Bom Jesus</t>
  </si>
  <si>
    <t xml:space="preserve">Bom Princípio do Piauí</t>
  </si>
  <si>
    <t xml:space="preserve">Bonfim do Piauí</t>
  </si>
  <si>
    <t xml:space="preserve">Boqueirão do Piauí</t>
  </si>
  <si>
    <t xml:space="preserve">Brasileira</t>
  </si>
  <si>
    <t xml:space="preserve">Brejo do Piauí</t>
  </si>
  <si>
    <t xml:space="preserve">Buriti dos Lopes</t>
  </si>
  <si>
    <t xml:space="preserve">Buriti dos Montes</t>
  </si>
  <si>
    <t xml:space="preserve">Cabeceiras do Piauí</t>
  </si>
  <si>
    <t xml:space="preserve">Cajazeiras do Piauí</t>
  </si>
  <si>
    <t xml:space="preserve">Cajueiro da Praia</t>
  </si>
  <si>
    <t xml:space="preserve">Caldeirão Grande do Piauí</t>
  </si>
  <si>
    <t xml:space="preserve">Campinas do Piauí</t>
  </si>
  <si>
    <t xml:space="preserve">Campo Alegre do Fidalgo</t>
  </si>
  <si>
    <t xml:space="preserve">Campo Grande do Piauí</t>
  </si>
  <si>
    <t xml:space="preserve">Campo Largo do Piauí</t>
  </si>
  <si>
    <t xml:space="preserve">Campo Maior</t>
  </si>
  <si>
    <t xml:space="preserve">Canavieira</t>
  </si>
  <si>
    <t xml:space="preserve">Canto do Buriti</t>
  </si>
  <si>
    <t xml:space="preserve">Capitão de Campos</t>
  </si>
  <si>
    <t xml:space="preserve">Capitão Gervásio Oliveira</t>
  </si>
  <si>
    <t xml:space="preserve">Caracol</t>
  </si>
  <si>
    <t xml:space="preserve">Caraúbas do Piauí</t>
  </si>
  <si>
    <t xml:space="preserve">Caridade do Piauí</t>
  </si>
  <si>
    <t xml:space="preserve">Castelo do Piauí</t>
  </si>
  <si>
    <t xml:space="preserve">Caxingó</t>
  </si>
  <si>
    <t xml:space="preserve">Cocal</t>
  </si>
  <si>
    <t xml:space="preserve">Cocal de Telha</t>
  </si>
  <si>
    <t xml:space="preserve">Cocal dos Alves</t>
  </si>
  <si>
    <t xml:space="preserve">Coivaras</t>
  </si>
  <si>
    <t xml:space="preserve">Colônia do Gurguéia</t>
  </si>
  <si>
    <t xml:space="preserve">Colônia do Piauí</t>
  </si>
  <si>
    <t xml:space="preserve">Conceição do Canindé</t>
  </si>
  <si>
    <t xml:space="preserve">Coronel José Dias</t>
  </si>
  <si>
    <t xml:space="preserve">Corrente</t>
  </si>
  <si>
    <t xml:space="preserve">Cristalândia do Piauí</t>
  </si>
  <si>
    <t xml:space="preserve">Cristino Castro</t>
  </si>
  <si>
    <t xml:space="preserve">Curimatá</t>
  </si>
  <si>
    <t xml:space="preserve">Currais</t>
  </si>
  <si>
    <t xml:space="preserve">Curral Novo do Piauí</t>
  </si>
  <si>
    <t xml:space="preserve">Curralinhos</t>
  </si>
  <si>
    <t xml:space="preserve">Demerval Lobão</t>
  </si>
  <si>
    <t xml:space="preserve">Dirceu Arcoverde</t>
  </si>
  <si>
    <t xml:space="preserve">Dom Expedito Lopes</t>
  </si>
  <si>
    <t xml:space="preserve">Dom Inocêncio</t>
  </si>
  <si>
    <t xml:space="preserve">Domingos Mourão</t>
  </si>
  <si>
    <t xml:space="preserve">Elesbão Veloso</t>
  </si>
  <si>
    <t xml:space="preserve">Eliseu Martins</t>
  </si>
  <si>
    <t xml:space="preserve">Esperantina</t>
  </si>
  <si>
    <t xml:space="preserve">Fartura do Piauí</t>
  </si>
  <si>
    <t xml:space="preserve">Flores do Piauí</t>
  </si>
  <si>
    <t xml:space="preserve">Floresta do Piauí</t>
  </si>
  <si>
    <t xml:space="preserve">Floriano</t>
  </si>
  <si>
    <t xml:space="preserve">Francinópolis</t>
  </si>
  <si>
    <t xml:space="preserve">Francisco Ayres</t>
  </si>
  <si>
    <t xml:space="preserve">Francisco Macedo</t>
  </si>
  <si>
    <t xml:space="preserve">Francisco Santos</t>
  </si>
  <si>
    <t xml:space="preserve">Fronteiras</t>
  </si>
  <si>
    <t xml:space="preserve">Geminiano</t>
  </si>
  <si>
    <t xml:space="preserve">Gilbués</t>
  </si>
  <si>
    <t xml:space="preserve">Guadalupe</t>
  </si>
  <si>
    <t xml:space="preserve">Guaribas</t>
  </si>
  <si>
    <t xml:space="preserve">Hugo Napoleão</t>
  </si>
  <si>
    <t xml:space="preserve">Ilha Grande</t>
  </si>
  <si>
    <t xml:space="preserve">Inhuma</t>
  </si>
  <si>
    <t xml:space="preserve">Ipiranga do Piauí</t>
  </si>
  <si>
    <t xml:space="preserve">Isaías Coelho</t>
  </si>
  <si>
    <t xml:space="preserve">Itainópolis</t>
  </si>
  <si>
    <t xml:space="preserve">Itaueira</t>
  </si>
  <si>
    <t xml:space="preserve">Jacobina do Piauí</t>
  </si>
  <si>
    <t xml:space="preserve">Jaicós</t>
  </si>
  <si>
    <t xml:space="preserve">Jardim do Mulato</t>
  </si>
  <si>
    <t xml:space="preserve">Jatobá do Piauí</t>
  </si>
  <si>
    <t xml:space="preserve">Jerumenha</t>
  </si>
  <si>
    <t xml:space="preserve">João Costa</t>
  </si>
  <si>
    <t xml:space="preserve">Joaquim Pires</t>
  </si>
  <si>
    <t xml:space="preserve">Joca Marques</t>
  </si>
  <si>
    <t xml:space="preserve">José de Freitas</t>
  </si>
  <si>
    <t xml:space="preserve">Juazeiro do Piauí</t>
  </si>
  <si>
    <t xml:space="preserve">Júlio Borges</t>
  </si>
  <si>
    <t xml:space="preserve">Jurema</t>
  </si>
  <si>
    <t xml:space="preserve">Lagoa Alegre</t>
  </si>
  <si>
    <t xml:space="preserve">Lagoa de São Francisco</t>
  </si>
  <si>
    <t xml:space="preserve">Lagoa do Barro do Piauí</t>
  </si>
  <si>
    <t xml:space="preserve">Lagoa do Piauí</t>
  </si>
  <si>
    <t xml:space="preserve">Lagoa do Sítio</t>
  </si>
  <si>
    <t xml:space="preserve">Lagoinha do Piauí</t>
  </si>
  <si>
    <t xml:space="preserve">Landri Sales</t>
  </si>
  <si>
    <t xml:space="preserve">Luís Correia</t>
  </si>
  <si>
    <t xml:space="preserve">Luzilândia</t>
  </si>
  <si>
    <t xml:space="preserve">Madeiro</t>
  </si>
  <si>
    <t xml:space="preserve">Manoel Emídio</t>
  </si>
  <si>
    <t xml:space="preserve">Marcolândia</t>
  </si>
  <si>
    <t xml:space="preserve">Marcos Parente</t>
  </si>
  <si>
    <t xml:space="preserve">Massapê do Piauí</t>
  </si>
  <si>
    <t xml:space="preserve">Matias Olímpio</t>
  </si>
  <si>
    <t xml:space="preserve">Miguel Alves</t>
  </si>
  <si>
    <t xml:space="preserve">Miguel Leão</t>
  </si>
  <si>
    <t xml:space="preserve">Milton Brandão</t>
  </si>
  <si>
    <t xml:space="preserve">Monsenhor Gil</t>
  </si>
  <si>
    <t xml:space="preserve">Monsenhor Hipólito</t>
  </si>
  <si>
    <t xml:space="preserve">Monte Alegre do Piauí</t>
  </si>
  <si>
    <t xml:space="preserve">Morro Cabeça no Tempo</t>
  </si>
  <si>
    <t xml:space="preserve">Morro do Chapéu do Piauí</t>
  </si>
  <si>
    <t xml:space="preserve">Murici dos Portelas</t>
  </si>
  <si>
    <t xml:space="preserve">Nazaré do Piauí</t>
  </si>
  <si>
    <t xml:space="preserve">Nazária</t>
  </si>
  <si>
    <t xml:space="preserve">Nossa Senhora de Nazaré</t>
  </si>
  <si>
    <t xml:space="preserve">Nossa Senhora dos Remédios</t>
  </si>
  <si>
    <t xml:space="preserve">Nova Santa Rita</t>
  </si>
  <si>
    <t xml:space="preserve">Novo Oriente do Piauí</t>
  </si>
  <si>
    <t xml:space="preserve">Novo Santo Antônio</t>
  </si>
  <si>
    <t xml:space="preserve">Oeiras</t>
  </si>
  <si>
    <t xml:space="preserve">Olho D'Água do Piauí</t>
  </si>
  <si>
    <t xml:space="preserve">Padre Marcos</t>
  </si>
  <si>
    <t xml:space="preserve">Paes Landim</t>
  </si>
  <si>
    <t xml:space="preserve">Pajeú do Piauí</t>
  </si>
  <si>
    <t xml:space="preserve">Palmeira do Piauí</t>
  </si>
  <si>
    <t xml:space="preserve">Palmeirais</t>
  </si>
  <si>
    <t xml:space="preserve">Paquetá</t>
  </si>
  <si>
    <t xml:space="preserve">Parnaguá</t>
  </si>
  <si>
    <t xml:space="preserve">Parnaíba</t>
  </si>
  <si>
    <t xml:space="preserve">Passagem Franca do Piauí</t>
  </si>
  <si>
    <t xml:space="preserve">Patos do Piauí</t>
  </si>
  <si>
    <t xml:space="preserve">Pau D'Arco do Piauí</t>
  </si>
  <si>
    <t xml:space="preserve">Paulistana</t>
  </si>
  <si>
    <t xml:space="preserve">Pavussu</t>
  </si>
  <si>
    <t xml:space="preserve">Pedro II</t>
  </si>
  <si>
    <t xml:space="preserve">Pedro Laurentino</t>
  </si>
  <si>
    <t xml:space="preserve">Picos</t>
  </si>
  <si>
    <t xml:space="preserve">Pimenteiras</t>
  </si>
  <si>
    <t xml:space="preserve">Pio IX</t>
  </si>
  <si>
    <t xml:space="preserve">Piracuruca</t>
  </si>
  <si>
    <t xml:space="preserve">Piripiri</t>
  </si>
  <si>
    <t xml:space="preserve">Porto</t>
  </si>
  <si>
    <t xml:space="preserve">Porto Alegre do Piauí</t>
  </si>
  <si>
    <t xml:space="preserve">Prata do Piauí</t>
  </si>
  <si>
    <t xml:space="preserve">Queimada Nova</t>
  </si>
  <si>
    <t xml:space="preserve">Redenção do Gurguéia</t>
  </si>
  <si>
    <t xml:space="preserve">Regeneração</t>
  </si>
  <si>
    <t xml:space="preserve">Riacho Frio</t>
  </si>
  <si>
    <t xml:space="preserve">Ribeira do Piauí</t>
  </si>
  <si>
    <t xml:space="preserve">Ribeiro Gonçalves</t>
  </si>
  <si>
    <t xml:space="preserve">Rio Grande do Piauí</t>
  </si>
  <si>
    <t xml:space="preserve">Santa Cruz do Piauí</t>
  </si>
  <si>
    <t xml:space="preserve">Santa Cruz dos Milagres</t>
  </si>
  <si>
    <t xml:space="preserve">Santa Filomena</t>
  </si>
  <si>
    <t xml:space="preserve">Santa Luz</t>
  </si>
  <si>
    <t xml:space="preserve">Santa Rosa do Piauí</t>
  </si>
  <si>
    <t xml:space="preserve">Santana do Piauí</t>
  </si>
  <si>
    <t xml:space="preserve">Santo Antônio de Lisboa</t>
  </si>
  <si>
    <t xml:space="preserve">Santo Antônio dos Milagres</t>
  </si>
  <si>
    <t xml:space="preserve">Santo Inácio do Piauí</t>
  </si>
  <si>
    <t xml:space="preserve">São Braz do Piauí</t>
  </si>
  <si>
    <t xml:space="preserve">São Félix do Piauí</t>
  </si>
  <si>
    <t xml:space="preserve">São Francisco de Assis do Piauí</t>
  </si>
  <si>
    <t xml:space="preserve">São Francisco do Piauí</t>
  </si>
  <si>
    <t xml:space="preserve">São Gonçalo do Gurguéia</t>
  </si>
  <si>
    <t xml:space="preserve">São Gonçalo do Piauí</t>
  </si>
  <si>
    <t xml:space="preserve">São João da Canabrava</t>
  </si>
  <si>
    <t xml:space="preserve">São João da Fronteira</t>
  </si>
  <si>
    <t xml:space="preserve">São João da Serra</t>
  </si>
  <si>
    <t xml:space="preserve">São João da Varjota</t>
  </si>
  <si>
    <t xml:space="preserve">São João do Arraial</t>
  </si>
  <si>
    <t xml:space="preserve">São João do Piauí</t>
  </si>
  <si>
    <t xml:space="preserve">São José do Divino</t>
  </si>
  <si>
    <t xml:space="preserve">São José do Peixe</t>
  </si>
  <si>
    <t xml:space="preserve">São José do Piauí</t>
  </si>
  <si>
    <t xml:space="preserve">São Julião</t>
  </si>
  <si>
    <t xml:space="preserve">São Lourenço do Piauí</t>
  </si>
  <si>
    <t xml:space="preserve">São Luis do Piauí</t>
  </si>
  <si>
    <t xml:space="preserve">São Miguel da Baixa Grande</t>
  </si>
  <si>
    <t xml:space="preserve">São Miguel do Fidalgo</t>
  </si>
  <si>
    <t xml:space="preserve">São Miguel do Tapuio</t>
  </si>
  <si>
    <t xml:space="preserve">São Pedro do Piauí</t>
  </si>
  <si>
    <t xml:space="preserve">São Raimundo Nonato</t>
  </si>
  <si>
    <t xml:space="preserve">Sebastião Barros</t>
  </si>
  <si>
    <t xml:space="preserve">Sebastião Leal</t>
  </si>
  <si>
    <t xml:space="preserve">Sigefredo Pacheco</t>
  </si>
  <si>
    <t xml:space="preserve">Simões</t>
  </si>
  <si>
    <t xml:space="preserve">Simplício Mendes</t>
  </si>
  <si>
    <t xml:space="preserve">Socorro do Piauí</t>
  </si>
  <si>
    <t xml:space="preserve">Sussuapara</t>
  </si>
  <si>
    <t xml:space="preserve">Tamboril do Piauí</t>
  </si>
  <si>
    <t xml:space="preserve">Tanque do Piauí</t>
  </si>
  <si>
    <t xml:space="preserve">Teresina</t>
  </si>
  <si>
    <t xml:space="preserve">União</t>
  </si>
  <si>
    <t xml:space="preserve">Uruçuí</t>
  </si>
  <si>
    <t xml:space="preserve">Valença do Piauí</t>
  </si>
  <si>
    <t xml:space="preserve">Várzea Branca</t>
  </si>
  <si>
    <t xml:space="preserve">Várzea Grande</t>
  </si>
  <si>
    <t xml:space="preserve">Vera Mendes</t>
  </si>
  <si>
    <t xml:space="preserve">Vila Nova do Piauí</t>
  </si>
  <si>
    <t xml:space="preserve">Wall Ferraz</t>
  </si>
  <si>
    <t xml:space="preserve">Indicadores derivados — calculados por fórmula sobre as abas anteriores</t>
  </si>
  <si>
    <t xml:space="preserve">Indicador</t>
  </si>
  <si>
    <t xml:space="preserve">Estoques</t>
  </si>
  <si>
    <t xml:space="preserve">CE+RIE</t>
  </si>
  <si>
    <t xml:space="preserve">Subclasses elegíveis</t>
  </si>
  <si>
    <t xml:space="preserve">Subclasses significativas (p&lt;0,05)</t>
  </si>
  <si>
    <t xml:space="preserve">Municípios sig. — total (999 perm.)</t>
  </si>
  <si>
    <t xml:space="preserve">Municípios sig. — nominais (9.999 perm.)</t>
  </si>
  <si>
    <t xml:space="preserve">Municípios sig. — pós-FDR (9.999 perm.)</t>
  </si>
  <si>
    <t xml:space="preserve">Taxa de sobrevivência ao FDR (%)</t>
  </si>
  <si>
    <t xml:space="preserve">Núcleos robustos às 4 W alternativas</t>
  </si>
  <si>
    <t xml:space="preserve">Núcleo robusto de pares (contagem)</t>
  </si>
  <si>
    <t xml:space="preserve">I bivariado máximo do núcleo robusto</t>
  </si>
  <si>
    <t xml:space="preserve">I bivariado mediano do núcleo robusto</t>
  </si>
  <si>
    <t xml:space="preserve">Município líder em núcleos AA (univariado)</t>
  </si>
  <si>
    <t xml:space="preserve">Município líder em pares robustos (bivariado)</t>
  </si>
  <si>
    <t xml:space="preserve">Municípios com ao menos um núcleo AA (univariado)</t>
  </si>
  <si>
    <t xml:space="preserve">Duplo núcleo — 32 pares presentes nos núcleos robustos dos dois pipelines</t>
  </si>
  <si>
    <t xml:space="preserve">Par de subclasses</t>
  </si>
  <si>
    <t xml:space="preserve">I biv. Estoques</t>
  </si>
  <si>
    <t xml:space="preserve">I biv. CE+RIE</t>
  </si>
  <si>
    <t xml:space="preserve">Núcleos AA Estoques</t>
  </si>
  <si>
    <t xml:space="preserve">Núcleos AA CE+RIE</t>
  </si>
  <si>
    <t xml:space="preserve">AA convergentes</t>
  </si>
  <si>
    <t xml:space="preserve">Municípios convergentes</t>
  </si>
  <si>
    <t xml:space="preserve">Condomínios prediais × Hotéis</t>
  </si>
  <si>
    <t xml:space="preserve">Cajueiro da Praia; Luís Correia; Parnaíba</t>
  </si>
  <si>
    <t xml:space="preserve">Criação de bovinos para corte × Cultivo de milho</t>
  </si>
  <si>
    <t xml:space="preserve">Baixa Grande do Ribeiro; Bom Jesus; Currais; Ribeiro Gonçalves; Santa Filomena; Uruçuí</t>
  </si>
  <si>
    <t xml:space="preserve">Formação de condutores × Serviços combinados de escritório e apoio administrativo</t>
  </si>
  <si>
    <t xml:space="preserve">Cajueiro da Praia; Ilha Grande; Parnaíba</t>
  </si>
  <si>
    <t xml:space="preserve">Criação de bovinos para corte × Cultivo de arroz</t>
  </si>
  <si>
    <t xml:space="preserve">Baixa Grande do Ribeiro; Bom Jesus; Cristino Castro; Currais; Gilbués; Monte Alegre do Piauí; Palmeira do Piauí; Redenção do Gurguéia</t>
  </si>
  <si>
    <t xml:space="preserve">Comércio varejista de animais vivos e de artigos e alimentos para animais de estimação × Serviços combinados de escritório e apoio administrativo</t>
  </si>
  <si>
    <t xml:space="preserve">Altos; Cajueiro da Praia; Ilha Grande; Nossa Senhora dos Remédios; Teresina</t>
  </si>
  <si>
    <t xml:space="preserve">Criação de bovinos para corte × Cultivo de soja</t>
  </si>
  <si>
    <t xml:space="preserve">Alvorada do Gurguéia; Antônio Almeida; Baixa Grande do Ribeiro; Cristino Castro; Landri Sales; Monte Alegre do Piauí; Nazária; Palmeira do Piauí; Ribeiro Gonçalves; Sebastião Leal; Uruçuí</t>
  </si>
  <si>
    <t xml:space="preserve">Comércio varejista de animais vivos e de artigos e alimentos para animais de estimação × Obras de urbanização - ruas, praças e calçadas</t>
  </si>
  <si>
    <t xml:space="preserve">Altos; Barras; Demerval Lobão; José de Freitas; Nazária; Teresina; União</t>
  </si>
  <si>
    <t xml:space="preserve">Comércio varejista especializado de equipamentos e suprimentos de informática × Criação de bovinos para corte</t>
  </si>
  <si>
    <t xml:space="preserve">Baixa Grande do Ribeiro; Currais; Ilha Grande; Ribeiro Gonçalves; Santa Filomena</t>
  </si>
  <si>
    <t xml:space="preserve">Hotéis × Serviços combinados de escritório e apoio administrativo</t>
  </si>
  <si>
    <t xml:space="preserve">Cajueiro da Praia; Ilha Grande</t>
  </si>
  <si>
    <t xml:space="preserve">Comércio varejista de animais vivos e de artigos e alimentos para animais de estimação × Restaurantes e similares</t>
  </si>
  <si>
    <t xml:space="preserve">Altos; Cajueiro da Praia; Demerval Lobão; José de Freitas; Luís Correia; Nazária; Teresina; União</t>
  </si>
  <si>
    <t xml:space="preserve">Comércio varejista de artigos do vestuário e acessórios × Serviços combinados de escritório e apoio administrativo</t>
  </si>
  <si>
    <t xml:space="preserve">Ilha Grande; Nossa Senhora dos Remédios; Teresina</t>
  </si>
  <si>
    <t xml:space="preserve">Comércio varejista de artigos do vestuário e acessórios × Construção de rodovias e ferrovias</t>
  </si>
  <si>
    <t xml:space="preserve">Altos; Cajueiro da Praia; Demerval Lobão; José de Freitas; Palmeirais; Ribeiro Gonçalves; União</t>
  </si>
  <si>
    <t xml:space="preserve">Comércio varejista de bebidas × Promoção de vendas</t>
  </si>
  <si>
    <t xml:space="preserve">Altos; Campo Maior; Demerval Lobão; José de Freitas; Teresina; União</t>
  </si>
  <si>
    <t xml:space="preserve">Restaurantes e similares × Serviços combinados de escritório e apoio administrativo</t>
  </si>
  <si>
    <t xml:space="preserve">Altos; Cajueiro da Praia; Ilha Grande; Teresina</t>
  </si>
  <si>
    <t xml:space="preserve">Comércio varejista de mercadorias em geral, com predominância de produtos alimentícios - hipermercados × Obras de urbanização - ruas, praças e calçadas</t>
  </si>
  <si>
    <t xml:space="preserve">Altos; Demerval Lobão; Nazária; Paquetá; Santa Cruz do Piauí; Teresina; União</t>
  </si>
  <si>
    <t xml:space="preserve">Obras de urbanização - ruas, praças e calçadas × Padaria e confeitaria com predominância de revenda</t>
  </si>
  <si>
    <t xml:space="preserve">Altos; Batalha; Demerval Lobão; José de Freitas; Lagoa Alegre; Nazária; Teresina; União</t>
  </si>
  <si>
    <t xml:space="preserve">Comércio varejista de bebidas × Obras de urbanização - ruas, praças e calçadas</t>
  </si>
  <si>
    <t xml:space="preserve">Altos; Lagoa Alegre; Nazária; Teresina; União</t>
  </si>
  <si>
    <t xml:space="preserve">Comércio varejista de artigos de papelaria × Obras de urbanização - ruas, praças e calçadas</t>
  </si>
  <si>
    <t xml:space="preserve">Educação infantil - pré-escola × Obras de urbanização - ruas, praças e calçadas</t>
  </si>
  <si>
    <t xml:space="preserve">Altos; Barras; Batalha; Demerval Lobão; José de Freitas; Nazária; Teresina; União</t>
  </si>
  <si>
    <t xml:space="preserve">Comércio varejista de animais vivos e de artigos e alimentos para animais de estimação × Comércio varejista de gás liqüefeito de petróleo (GLP)</t>
  </si>
  <si>
    <t xml:space="preserve">Demerval Lobão; Ilha Grande; José de Freitas; Nazária; Palmeirais; Teresina; União</t>
  </si>
  <si>
    <t xml:space="preserve">Comércio varejista de animais vivos e de artigos e alimentos para animais de estimação × Promoção de vendas</t>
  </si>
  <si>
    <t xml:space="preserve">Altos; Campo Maior; Demerval Lobão; José de Freitas; Teresina</t>
  </si>
  <si>
    <t xml:space="preserve">Comércio varejista de animais vivos e de artigos e alimentos para animais de estimação × Criação de frangos para corte</t>
  </si>
  <si>
    <t xml:space="preserve">Altos; José de Freitas; Teresina</t>
  </si>
  <si>
    <t xml:space="preserve">Comércio varejista de animais vivos e de artigos e alimentos para animais de estimação × Comércio varejista de bebidas</t>
  </si>
  <si>
    <t xml:space="preserve">Altos; Cajueiro da Praia; Demerval Lobão; José de Freitas; Teresina; União</t>
  </si>
  <si>
    <t xml:space="preserve">Educação infantil - pré-escola × Promoção de vendas</t>
  </si>
  <si>
    <t xml:space="preserve">Comércio varejista de artigos de papelaria × Promoção de vendas</t>
  </si>
  <si>
    <t xml:space="preserve">Altos; Campo Maior; José de Freitas; Teresina; União</t>
  </si>
  <si>
    <t xml:space="preserve">Comércio varejista de animais vivos e de artigos e alimentos para animais de estimação × Educação infantil - pré-escola</t>
  </si>
  <si>
    <t xml:space="preserve">Altos; Barras; Batalha; Demerval Lobão; José de Freitas; Teresina; União</t>
  </si>
  <si>
    <t xml:space="preserve">Comércio varejista de gás liqüefeito de petróleo (GLP) × Comércio varejista de mercadorias em geral, com predominância de produtos alimentícios - hipermercados</t>
  </si>
  <si>
    <t xml:space="preserve">Altos; Demerval Lobão; Teresina; União</t>
  </si>
  <si>
    <t xml:space="preserve">Comércio varejista de mercadorias em geral, com predominância de produtos alimentícios - minimercados, mercearias e armazéns × Criação de bovinos para corte</t>
  </si>
  <si>
    <t xml:space="preserve">Currais; José de Freitas; Nazária; Palmeirais</t>
  </si>
  <si>
    <t xml:space="preserve">Comércio varejista de animais vivos e de artigos e alimentos para animais de estimação × Padaria e confeitaria com predominância de revenda</t>
  </si>
  <si>
    <t xml:space="preserve">Batalha; Demerval Lobão; José de Freitas; Teresina; União</t>
  </si>
  <si>
    <t xml:space="preserve">Construção de rodovias e ferrovias × Criação de bovinos para corte</t>
  </si>
  <si>
    <t xml:space="preserve">Amarante; Baixa Grande do Ribeiro</t>
  </si>
  <si>
    <t xml:space="preserve">Comércio varejista de bebidas × Comércio varejista de mercadorias em geral, com predominância de produtos alimentícios - hipermercados</t>
  </si>
  <si>
    <t xml:space="preserve">Casas lotéricas × Comércio varejista de artigos de papelaria</t>
  </si>
  <si>
    <t xml:space="preserve">Altos; Floriano; Piripiri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</si>
</sst>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0"/>
    <numFmt numFmtId="167" formatCode="0"/>
    <numFmt numFmtId="168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8B"/>
        <bgColor rgb="FF008080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8B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B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8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55.5" hidden="false" customHeight="tru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97.5" hidden="false" customHeight="true" outlineLevel="0" collapsed="false">
      <c r="A5" s="2" t="s">
        <v>2</v>
      </c>
    </row>
    <row r="6" customFormat="false" ht="15" hidden="false" customHeight="false" outlineLevel="0" collapsed="false">
      <c r="A6" s="2"/>
    </row>
    <row r="7" customFormat="false" ht="69.75" hidden="false" customHeight="true" outlineLevel="0" collapsed="false">
      <c r="A7" s="2" t="s">
        <v>3</v>
      </c>
    </row>
    <row r="8" customFormat="false" ht="15" hidden="false" customHeight="false" outlineLevel="0" collapsed="false">
      <c r="A8" s="2"/>
    </row>
    <row r="9" customFormat="false" ht="27.75" hidden="false" customHeight="true" outlineLevel="0" collapsed="false">
      <c r="A9" s="2" t="s">
        <v>4</v>
      </c>
    </row>
    <row r="10" customFormat="false" ht="15" hidden="false" customHeight="false" outlineLevel="0" collapsed="false">
      <c r="A10" s="2"/>
    </row>
    <row r="11" customFormat="false" ht="69.75" hidden="false" customHeight="true" outlineLevel="0" collapsed="false">
      <c r="A11" s="2" t="s">
        <v>5</v>
      </c>
    </row>
    <row r="12" customFormat="false" ht="15" hidden="false" customHeight="false" outlineLevel="0" collapsed="false">
      <c r="A12" s="2"/>
    </row>
    <row r="13" customFormat="false" ht="22.35" hidden="false" customHeight="false" outlineLevel="0" collapsed="false">
      <c r="A13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6" min="5" style="0" width="11"/>
    <col collapsed="false" customWidth="true" hidden="false" outlineLevel="0" max="7" min="7" style="0" width="9"/>
    <col collapsed="false" customWidth="true" hidden="false" outlineLevel="0" max="11" min="8" style="0" width="11"/>
  </cols>
  <sheetData>
    <row r="1" customFormat="false" ht="21.75" hidden="false" customHeight="true" outlineLevel="0" collapsed="false">
      <c r="A1" s="4" t="s">
        <v>7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customFormat="false" ht="30" hidden="false" customHeight="true" outlineLevel="0" collapsed="false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</row>
    <row r="3" customFormat="false" ht="15" hidden="false" customHeight="false" outlineLevel="0" collapsed="false">
      <c r="A3" s="6" t="s">
        <v>19</v>
      </c>
      <c r="B3" s="7" t="n">
        <v>94</v>
      </c>
      <c r="C3" s="8" t="n">
        <v>-0.0585</v>
      </c>
      <c r="D3" s="8" t="n">
        <v>0.095</v>
      </c>
      <c r="E3" s="9" t="n">
        <v>0</v>
      </c>
      <c r="F3" s="7" t="n">
        <v>27</v>
      </c>
      <c r="G3" s="7" t="n">
        <v>7</v>
      </c>
      <c r="H3" s="7" t="n">
        <v>26</v>
      </c>
      <c r="I3" s="7" t="n">
        <v>10</v>
      </c>
      <c r="J3" s="7" t="n">
        <v>1</v>
      </c>
      <c r="K3" s="10" t="n">
        <f aca="false">IF(F3=0,"–",J3/F3*100)</f>
        <v>3.7037037037037</v>
      </c>
    </row>
    <row r="4" customFormat="false" ht="15" hidden="false" customHeight="false" outlineLevel="0" collapsed="false">
      <c r="A4" s="6" t="s">
        <v>20</v>
      </c>
      <c r="B4" s="7" t="n">
        <v>26</v>
      </c>
      <c r="C4" s="8" t="n">
        <v>0.1277</v>
      </c>
      <c r="D4" s="8" t="n">
        <v>0.007</v>
      </c>
      <c r="E4" s="9" t="n">
        <v>1</v>
      </c>
      <c r="F4" s="7" t="n">
        <v>28</v>
      </c>
      <c r="G4" s="7" t="n">
        <v>6</v>
      </c>
      <c r="H4" s="7" t="n">
        <v>25</v>
      </c>
      <c r="I4" s="7" t="n">
        <v>5</v>
      </c>
      <c r="J4" s="7" t="n">
        <v>5</v>
      </c>
      <c r="K4" s="10" t="n">
        <f aca="false">IF(F4=0,"–",J4/F4*100)</f>
        <v>17.8571428571429</v>
      </c>
    </row>
    <row r="5" customFormat="false" ht="15" hidden="false" customHeight="false" outlineLevel="0" collapsed="false">
      <c r="A5" s="6" t="s">
        <v>21</v>
      </c>
      <c r="B5" s="7" t="n">
        <v>14</v>
      </c>
      <c r="C5" s="8" t="n">
        <v>-0.0309</v>
      </c>
      <c r="D5" s="8" t="n">
        <v>0.27</v>
      </c>
      <c r="E5" s="9" t="n">
        <v>0</v>
      </c>
      <c r="F5" s="7" t="n">
        <v>55</v>
      </c>
      <c r="G5" s="7" t="n">
        <v>1</v>
      </c>
      <c r="H5" s="7" t="n">
        <v>56</v>
      </c>
      <c r="I5" s="7" t="n">
        <v>41</v>
      </c>
      <c r="J5" s="7" t="n">
        <v>3</v>
      </c>
      <c r="K5" s="10" t="n">
        <f aca="false">IF(F5=0,"–",J5/F5*100)</f>
        <v>5.45454545454545</v>
      </c>
    </row>
    <row r="6" customFormat="false" ht="15" hidden="false" customHeight="false" outlineLevel="0" collapsed="false">
      <c r="A6" s="6" t="s">
        <v>22</v>
      </c>
      <c r="B6" s="7" t="n">
        <v>103</v>
      </c>
      <c r="C6" s="8" t="n">
        <v>0.3941</v>
      </c>
      <c r="D6" s="8" t="n">
        <v>0.001</v>
      </c>
      <c r="E6" s="9" t="n">
        <v>1</v>
      </c>
      <c r="F6" s="7" t="n">
        <v>94</v>
      </c>
      <c r="G6" s="7" t="n">
        <v>27</v>
      </c>
      <c r="H6" s="7" t="n">
        <v>96</v>
      </c>
      <c r="I6" s="7" t="n">
        <v>67</v>
      </c>
      <c r="J6" s="7" t="n">
        <v>70</v>
      </c>
      <c r="K6" s="10" t="n">
        <f aca="false">IF(F6=0,"–",J6/F6*100)</f>
        <v>74.468085106383</v>
      </c>
    </row>
    <row r="7" customFormat="false" ht="15" hidden="false" customHeight="false" outlineLevel="0" collapsed="false">
      <c r="A7" s="6" t="s">
        <v>23</v>
      </c>
      <c r="B7" s="7" t="n">
        <v>15</v>
      </c>
      <c r="C7" s="8" t="n">
        <v>-0.0095</v>
      </c>
      <c r="D7" s="8" t="n">
        <v>0.466</v>
      </c>
      <c r="E7" s="9" t="n">
        <v>0</v>
      </c>
      <c r="F7" s="7" t="n">
        <v>57</v>
      </c>
      <c r="G7" s="7" t="n">
        <v>2</v>
      </c>
      <c r="H7" s="7" t="n">
        <v>56</v>
      </c>
      <c r="I7" s="7" t="n">
        <v>46</v>
      </c>
      <c r="J7" s="7" t="n">
        <v>8</v>
      </c>
      <c r="K7" s="10" t="n">
        <f aca="false">IF(F7=0,"–",J7/F7*100)</f>
        <v>14.0350877192982</v>
      </c>
    </row>
    <row r="8" customFormat="false" ht="15" hidden="false" customHeight="false" outlineLevel="0" collapsed="false">
      <c r="A8" s="6" t="s">
        <v>24</v>
      </c>
      <c r="B8" s="7" t="n">
        <v>18</v>
      </c>
      <c r="C8" s="8" t="n">
        <v>-0.0964</v>
      </c>
      <c r="D8" s="8" t="n">
        <v>0.001</v>
      </c>
      <c r="E8" s="9" t="n">
        <v>1</v>
      </c>
      <c r="F8" s="7" t="n">
        <v>112</v>
      </c>
      <c r="G8" s="7" t="n">
        <v>0</v>
      </c>
      <c r="H8" s="7" t="n">
        <v>112</v>
      </c>
      <c r="I8" s="7" t="n">
        <v>106</v>
      </c>
      <c r="J8" s="7" t="n">
        <v>12</v>
      </c>
      <c r="K8" s="10" t="n">
        <f aca="false">IF(F8=0,"–",J8/F8*100)</f>
        <v>10.7142857142857</v>
      </c>
    </row>
    <row r="9" customFormat="false" ht="15" hidden="false" customHeight="false" outlineLevel="0" collapsed="false">
      <c r="A9" s="6" t="s">
        <v>25</v>
      </c>
      <c r="B9" s="7" t="n">
        <v>39</v>
      </c>
      <c r="C9" s="8" t="n">
        <v>-0.0591</v>
      </c>
      <c r="D9" s="8" t="n">
        <v>0.085</v>
      </c>
      <c r="E9" s="9" t="n">
        <v>0</v>
      </c>
      <c r="F9" s="7" t="n">
        <v>25</v>
      </c>
      <c r="G9" s="7" t="n">
        <v>3</v>
      </c>
      <c r="H9" s="7" t="n">
        <v>28</v>
      </c>
      <c r="I9" s="7" t="n">
        <v>14</v>
      </c>
      <c r="J9" s="7" t="n">
        <v>3</v>
      </c>
      <c r="K9" s="10" t="n">
        <f aca="false">IF(F9=0,"–",J9/F9*100)</f>
        <v>12</v>
      </c>
    </row>
    <row r="10" customFormat="false" ht="15" hidden="false" customHeight="false" outlineLevel="0" collapsed="false">
      <c r="A10" s="6" t="s">
        <v>26</v>
      </c>
      <c r="B10" s="7" t="n">
        <v>13</v>
      </c>
      <c r="C10" s="8" t="n">
        <v>0.0641</v>
      </c>
      <c r="D10" s="8" t="n">
        <v>0.067</v>
      </c>
      <c r="E10" s="9" t="n">
        <v>0</v>
      </c>
      <c r="F10" s="7" t="n">
        <v>65</v>
      </c>
      <c r="G10" s="7" t="n">
        <v>2</v>
      </c>
      <c r="H10" s="7" t="n">
        <v>66</v>
      </c>
      <c r="I10" s="7" t="n">
        <v>58</v>
      </c>
      <c r="J10" s="7" t="n">
        <v>2</v>
      </c>
      <c r="K10" s="10" t="n">
        <f aca="false">IF(F10=0,"–",J10/F10*100)</f>
        <v>3.07692307692308</v>
      </c>
    </row>
    <row r="11" customFormat="false" ht="15" hidden="false" customHeight="false" outlineLevel="0" collapsed="false">
      <c r="A11" s="6" t="s">
        <v>27</v>
      </c>
      <c r="B11" s="7" t="n">
        <v>19</v>
      </c>
      <c r="C11" s="8" t="n">
        <v>0.0193</v>
      </c>
      <c r="D11" s="8" t="n">
        <v>0.243</v>
      </c>
      <c r="E11" s="9" t="n">
        <v>0</v>
      </c>
      <c r="F11" s="7" t="n">
        <v>28</v>
      </c>
      <c r="G11" s="7" t="n">
        <v>0</v>
      </c>
      <c r="H11" s="7" t="n">
        <v>29</v>
      </c>
      <c r="I11" s="7" t="n">
        <v>8</v>
      </c>
      <c r="J11" s="7" t="n">
        <v>6</v>
      </c>
      <c r="K11" s="10" t="n">
        <f aca="false">IF(F11=0,"–",J11/F11*100)</f>
        <v>21.4285714285714</v>
      </c>
    </row>
    <row r="12" customFormat="false" ht="15" hidden="false" customHeight="false" outlineLevel="0" collapsed="false">
      <c r="A12" s="6" t="s">
        <v>28</v>
      </c>
      <c r="B12" s="7" t="n">
        <v>12</v>
      </c>
      <c r="C12" s="8" t="n">
        <v>-0.054</v>
      </c>
      <c r="D12" s="8" t="n">
        <v>0.025</v>
      </c>
      <c r="E12" s="9" t="n">
        <v>1</v>
      </c>
      <c r="F12" s="7" t="n">
        <v>38</v>
      </c>
      <c r="G12" s="7" t="n">
        <v>0</v>
      </c>
      <c r="H12" s="7" t="n">
        <v>39</v>
      </c>
      <c r="I12" s="7" t="n">
        <v>24</v>
      </c>
      <c r="J12" s="7" t="n">
        <v>7</v>
      </c>
      <c r="K12" s="10" t="n">
        <f aca="false">IF(F12=0,"–",J12/F12*100)</f>
        <v>18.4210526315789</v>
      </c>
    </row>
    <row r="13" customFormat="false" ht="15" hidden="false" customHeight="false" outlineLevel="0" collapsed="false">
      <c r="A13" s="6" t="s">
        <v>29</v>
      </c>
      <c r="B13" s="7" t="n">
        <v>14</v>
      </c>
      <c r="C13" s="8" t="n">
        <v>-0.0192</v>
      </c>
      <c r="D13" s="8" t="n">
        <v>0.409</v>
      </c>
      <c r="E13" s="9" t="n">
        <v>0</v>
      </c>
      <c r="F13" s="7" t="n">
        <v>79</v>
      </c>
      <c r="G13" s="7" t="n">
        <v>1</v>
      </c>
      <c r="H13" s="7" t="n">
        <v>79</v>
      </c>
      <c r="I13" s="7" t="n">
        <v>69</v>
      </c>
      <c r="J13" s="7" t="n">
        <v>2</v>
      </c>
      <c r="K13" s="10" t="n">
        <f aca="false">IF(F13=0,"–",J13/F13*100)</f>
        <v>2.53164556962025</v>
      </c>
    </row>
    <row r="14" customFormat="false" ht="15" hidden="false" customHeight="false" outlineLevel="0" collapsed="false">
      <c r="A14" s="6" t="s">
        <v>30</v>
      </c>
      <c r="B14" s="7" t="n">
        <v>22</v>
      </c>
      <c r="C14" s="8" t="n">
        <v>-0.0189</v>
      </c>
      <c r="D14" s="8" t="n">
        <v>0.372</v>
      </c>
      <c r="E14" s="9" t="n">
        <v>0</v>
      </c>
      <c r="F14" s="7" t="n">
        <v>26</v>
      </c>
      <c r="G14" s="7" t="n">
        <v>1</v>
      </c>
      <c r="H14" s="7" t="n">
        <v>26</v>
      </c>
      <c r="I14" s="7" t="n">
        <v>9</v>
      </c>
      <c r="J14" s="7" t="n">
        <v>8</v>
      </c>
      <c r="K14" s="10" t="n">
        <f aca="false">IF(F14=0,"–",J14/F14*100)</f>
        <v>30.7692307692308</v>
      </c>
    </row>
    <row r="15" customFormat="false" ht="15" hidden="false" customHeight="false" outlineLevel="0" collapsed="false">
      <c r="A15" s="6" t="s">
        <v>31</v>
      </c>
      <c r="B15" s="7" t="n">
        <v>12</v>
      </c>
      <c r="C15" s="8" t="n">
        <v>0.0221</v>
      </c>
      <c r="D15" s="8" t="n">
        <v>0.212</v>
      </c>
      <c r="E15" s="9" t="n">
        <v>0</v>
      </c>
      <c r="F15" s="7" t="n">
        <v>26</v>
      </c>
      <c r="G15" s="7" t="n">
        <v>2</v>
      </c>
      <c r="H15" s="7" t="n">
        <v>26</v>
      </c>
      <c r="I15" s="7" t="n">
        <v>7</v>
      </c>
      <c r="J15" s="7" t="n">
        <v>7</v>
      </c>
      <c r="K15" s="10" t="n">
        <f aca="false">IF(F15=0,"–",J15/F15*100)</f>
        <v>26.9230769230769</v>
      </c>
    </row>
    <row r="16" customFormat="false" ht="15" hidden="false" customHeight="false" outlineLevel="0" collapsed="false">
      <c r="A16" s="6" t="s">
        <v>32</v>
      </c>
      <c r="B16" s="7" t="n">
        <v>28</v>
      </c>
      <c r="C16" s="8" t="n">
        <v>-0.0004</v>
      </c>
      <c r="D16" s="8" t="n">
        <v>0.395</v>
      </c>
      <c r="E16" s="9" t="n">
        <v>0</v>
      </c>
      <c r="F16" s="7" t="n">
        <v>104</v>
      </c>
      <c r="G16" s="7" t="n">
        <v>4</v>
      </c>
      <c r="H16" s="7" t="n">
        <v>107</v>
      </c>
      <c r="I16" s="7" t="n">
        <v>95</v>
      </c>
      <c r="J16" s="7" t="n">
        <v>29</v>
      </c>
      <c r="K16" s="10" t="n">
        <f aca="false">IF(F16=0,"–",J16/F16*100)</f>
        <v>27.8846153846154</v>
      </c>
    </row>
    <row r="17" customFormat="false" ht="15" hidden="false" customHeight="false" outlineLevel="0" collapsed="false">
      <c r="A17" s="6" t="s">
        <v>33</v>
      </c>
      <c r="B17" s="7" t="n">
        <v>30</v>
      </c>
      <c r="C17" s="8" t="n">
        <v>0.005</v>
      </c>
      <c r="D17" s="8" t="n">
        <v>0.352</v>
      </c>
      <c r="E17" s="9" t="n">
        <v>0</v>
      </c>
      <c r="F17" s="7" t="n">
        <v>108</v>
      </c>
      <c r="G17" s="7" t="n">
        <v>2</v>
      </c>
      <c r="H17" s="7" t="n">
        <v>111</v>
      </c>
      <c r="I17" s="7" t="n">
        <v>93</v>
      </c>
      <c r="J17" s="7" t="n">
        <v>20</v>
      </c>
      <c r="K17" s="10" t="n">
        <f aca="false">IF(F17=0,"–",J17/F17*100)</f>
        <v>18.5185185185185</v>
      </c>
    </row>
    <row r="18" customFormat="false" ht="15" hidden="false" customHeight="false" outlineLevel="0" collapsed="false">
      <c r="A18" s="6" t="s">
        <v>34</v>
      </c>
      <c r="B18" s="7" t="n">
        <v>54</v>
      </c>
      <c r="C18" s="8" t="n">
        <v>0.022</v>
      </c>
      <c r="D18" s="8" t="n">
        <v>0.285</v>
      </c>
      <c r="E18" s="9" t="n">
        <v>0</v>
      </c>
      <c r="F18" s="7" t="n">
        <v>63</v>
      </c>
      <c r="G18" s="7" t="n">
        <v>4</v>
      </c>
      <c r="H18" s="7" t="n">
        <v>64</v>
      </c>
      <c r="I18" s="7" t="n">
        <v>53</v>
      </c>
      <c r="J18" s="7" t="n">
        <v>23</v>
      </c>
      <c r="K18" s="10" t="n">
        <f aca="false">IF(F18=0,"–",J18/F18*100)</f>
        <v>36.5079365079365</v>
      </c>
    </row>
    <row r="19" customFormat="false" ht="15" hidden="false" customHeight="false" outlineLevel="0" collapsed="false">
      <c r="A19" s="6" t="s">
        <v>35</v>
      </c>
      <c r="B19" s="7" t="n">
        <v>43</v>
      </c>
      <c r="C19" s="8" t="n">
        <v>0.4584</v>
      </c>
      <c r="D19" s="8" t="n">
        <v>0.001</v>
      </c>
      <c r="E19" s="9" t="n">
        <v>1</v>
      </c>
      <c r="F19" s="7" t="n">
        <v>30</v>
      </c>
      <c r="G19" s="7" t="n">
        <v>17</v>
      </c>
      <c r="H19" s="7" t="n">
        <v>32</v>
      </c>
      <c r="I19" s="7" t="n">
        <v>17</v>
      </c>
      <c r="J19" s="7" t="n">
        <v>18</v>
      </c>
      <c r="K19" s="10" t="n">
        <f aca="false">IF(F19=0,"–",J19/F19*100)</f>
        <v>60</v>
      </c>
    </row>
    <row r="20" customFormat="false" ht="15" hidden="false" customHeight="false" outlineLevel="0" collapsed="false">
      <c r="A20" s="6" t="s">
        <v>36</v>
      </c>
      <c r="B20" s="7" t="n">
        <v>35</v>
      </c>
      <c r="C20" s="8" t="n">
        <v>0.1185</v>
      </c>
      <c r="D20" s="8" t="n">
        <v>0.006</v>
      </c>
      <c r="E20" s="9" t="n">
        <v>1</v>
      </c>
      <c r="F20" s="7" t="n">
        <v>27</v>
      </c>
      <c r="G20" s="7" t="n">
        <v>9</v>
      </c>
      <c r="H20" s="7" t="n">
        <v>26</v>
      </c>
      <c r="I20" s="7" t="n">
        <v>6</v>
      </c>
      <c r="J20" s="7" t="n">
        <v>7</v>
      </c>
      <c r="K20" s="10" t="n">
        <f aca="false">IF(F20=0,"–",J20/F20*100)</f>
        <v>25.9259259259259</v>
      </c>
    </row>
    <row r="21" customFormat="false" ht="15" hidden="false" customHeight="false" outlineLevel="0" collapsed="false">
      <c r="A21" s="6" t="s">
        <v>37</v>
      </c>
      <c r="B21" s="7" t="n">
        <v>11</v>
      </c>
      <c r="C21" s="8" t="n">
        <v>-0.0382</v>
      </c>
      <c r="D21" s="8" t="n">
        <v>0.237</v>
      </c>
      <c r="E21" s="9" t="n">
        <v>0</v>
      </c>
      <c r="F21" s="7" t="n">
        <v>37</v>
      </c>
      <c r="G21" s="7" t="n">
        <v>0</v>
      </c>
      <c r="H21" s="7" t="n">
        <v>39</v>
      </c>
      <c r="I21" s="7" t="n">
        <v>22</v>
      </c>
      <c r="J21" s="7" t="n">
        <v>5</v>
      </c>
      <c r="K21" s="10" t="n">
        <f aca="false">IF(F21=0,"–",J21/F21*100)</f>
        <v>13.5135135135135</v>
      </c>
    </row>
    <row r="22" customFormat="false" ht="15" hidden="false" customHeight="false" outlineLevel="0" collapsed="false">
      <c r="A22" s="6" t="s">
        <v>38</v>
      </c>
      <c r="B22" s="7" t="n">
        <v>17</v>
      </c>
      <c r="C22" s="8" t="n">
        <v>0.2159</v>
      </c>
      <c r="D22" s="8" t="n">
        <v>0.002</v>
      </c>
      <c r="E22" s="9" t="n">
        <v>1</v>
      </c>
      <c r="F22" s="7" t="n">
        <v>21</v>
      </c>
      <c r="G22" s="7" t="n">
        <v>6</v>
      </c>
      <c r="H22" s="7" t="n">
        <v>23</v>
      </c>
      <c r="I22" s="7" t="n">
        <v>10</v>
      </c>
      <c r="J22" s="7" t="n">
        <v>9</v>
      </c>
      <c r="K22" s="10" t="n">
        <f aca="false">IF(F22=0,"–",J22/F22*100)</f>
        <v>42.8571428571429</v>
      </c>
    </row>
    <row r="23" customFormat="false" ht="15" hidden="false" customHeight="false" outlineLevel="0" collapsed="false">
      <c r="A23" s="6" t="s">
        <v>39</v>
      </c>
      <c r="B23" s="7" t="n">
        <v>12</v>
      </c>
      <c r="C23" s="8" t="n">
        <v>-0.0195</v>
      </c>
      <c r="D23" s="8" t="n">
        <v>0.391</v>
      </c>
      <c r="E23" s="9" t="n">
        <v>0</v>
      </c>
      <c r="F23" s="7" t="n">
        <v>93</v>
      </c>
      <c r="G23" s="7" t="n">
        <v>0</v>
      </c>
      <c r="H23" s="7" t="n">
        <v>92</v>
      </c>
      <c r="I23" s="7" t="n">
        <v>82</v>
      </c>
      <c r="J23" s="7" t="n">
        <v>13</v>
      </c>
      <c r="K23" s="10" t="n">
        <f aca="false">IF(F23=0,"–",J23/F23*100)</f>
        <v>13.9784946236559</v>
      </c>
    </row>
    <row r="24" customFormat="false" ht="15" hidden="false" customHeight="false" outlineLevel="0" collapsed="false">
      <c r="A24" s="6" t="s">
        <v>40</v>
      </c>
      <c r="B24" s="7" t="n">
        <v>28</v>
      </c>
      <c r="C24" s="8" t="n">
        <v>0.1011</v>
      </c>
      <c r="D24" s="8" t="n">
        <v>0.017</v>
      </c>
      <c r="E24" s="9" t="n">
        <v>1</v>
      </c>
      <c r="F24" s="7" t="n">
        <v>41</v>
      </c>
      <c r="G24" s="7" t="n">
        <v>1</v>
      </c>
      <c r="H24" s="7" t="n">
        <v>40</v>
      </c>
      <c r="I24" s="7" t="n">
        <v>36</v>
      </c>
      <c r="J24" s="7" t="n">
        <v>4</v>
      </c>
      <c r="K24" s="10" t="n">
        <f aca="false">IF(F24=0,"–",J24/F24*100)</f>
        <v>9.75609756097561</v>
      </c>
    </row>
    <row r="25" customFormat="false" ht="15" hidden="false" customHeight="false" outlineLevel="0" collapsed="false">
      <c r="A25" s="6" t="s">
        <v>41</v>
      </c>
      <c r="B25" s="7" t="n">
        <v>96</v>
      </c>
      <c r="C25" s="8" t="n">
        <v>0.4307</v>
      </c>
      <c r="D25" s="8" t="n">
        <v>0.001</v>
      </c>
      <c r="E25" s="9" t="n">
        <v>1</v>
      </c>
      <c r="F25" s="7" t="n">
        <v>67</v>
      </c>
      <c r="G25" s="7" t="n">
        <v>35</v>
      </c>
      <c r="H25" s="7" t="n">
        <v>69</v>
      </c>
      <c r="I25" s="7" t="n">
        <v>32</v>
      </c>
      <c r="J25" s="7" t="n">
        <v>30</v>
      </c>
      <c r="K25" s="10" t="n">
        <f aca="false">IF(F25=0,"–",J25/F25*100)</f>
        <v>44.7761194029851</v>
      </c>
    </row>
    <row r="26" customFormat="false" ht="15" hidden="false" customHeight="false" outlineLevel="0" collapsed="false">
      <c r="A26" s="6" t="s">
        <v>42</v>
      </c>
      <c r="B26" s="7" t="n">
        <v>40</v>
      </c>
      <c r="C26" s="8" t="n">
        <v>0.1674</v>
      </c>
      <c r="D26" s="8" t="n">
        <v>0.001</v>
      </c>
      <c r="E26" s="9" t="n">
        <v>1</v>
      </c>
      <c r="F26" s="7" t="n">
        <v>28</v>
      </c>
      <c r="G26" s="7" t="n">
        <v>8</v>
      </c>
      <c r="H26" s="7" t="n">
        <v>30</v>
      </c>
      <c r="I26" s="7" t="n">
        <v>12</v>
      </c>
      <c r="J26" s="7" t="n">
        <v>11</v>
      </c>
      <c r="K26" s="10" t="n">
        <f aca="false">IF(F26=0,"–",J26/F26*100)</f>
        <v>39.2857142857143</v>
      </c>
    </row>
    <row r="27" customFormat="false" ht="15" hidden="false" customHeight="false" outlineLevel="0" collapsed="false">
      <c r="A27" s="6" t="s">
        <v>43</v>
      </c>
      <c r="B27" s="7" t="n">
        <v>70</v>
      </c>
      <c r="C27" s="8" t="n">
        <v>-0.0569</v>
      </c>
      <c r="D27" s="8" t="n">
        <v>0.089</v>
      </c>
      <c r="E27" s="9" t="n">
        <v>0</v>
      </c>
      <c r="F27" s="7" t="n">
        <v>22</v>
      </c>
      <c r="G27" s="7" t="n">
        <v>2</v>
      </c>
      <c r="H27" s="7" t="n">
        <v>23</v>
      </c>
      <c r="I27" s="7" t="n">
        <v>3</v>
      </c>
      <c r="J27" s="7" t="n">
        <v>1</v>
      </c>
      <c r="K27" s="10" t="n">
        <f aca="false">IF(F27=0,"–",J27/F27*100)</f>
        <v>4.54545454545455</v>
      </c>
    </row>
    <row r="28" customFormat="false" ht="15" hidden="false" customHeight="false" outlineLevel="0" collapsed="false">
      <c r="A28" s="6" t="s">
        <v>44</v>
      </c>
      <c r="B28" s="7" t="n">
        <v>38</v>
      </c>
      <c r="C28" s="8" t="n">
        <v>0.1976</v>
      </c>
      <c r="D28" s="8" t="n">
        <v>0.001</v>
      </c>
      <c r="E28" s="9" t="n">
        <v>1</v>
      </c>
      <c r="F28" s="7" t="n">
        <v>33</v>
      </c>
      <c r="G28" s="7" t="n">
        <v>9</v>
      </c>
      <c r="H28" s="7" t="n">
        <v>35</v>
      </c>
      <c r="I28" s="7" t="n">
        <v>17</v>
      </c>
      <c r="J28" s="7" t="n">
        <v>12</v>
      </c>
      <c r="K28" s="10" t="n">
        <f aca="false">IF(F28=0,"–",J28/F28*100)</f>
        <v>36.3636363636364</v>
      </c>
    </row>
    <row r="29" customFormat="false" ht="15" hidden="false" customHeight="false" outlineLevel="0" collapsed="false">
      <c r="A29" s="6" t="s">
        <v>45</v>
      </c>
      <c r="B29" s="7" t="n">
        <v>51</v>
      </c>
      <c r="C29" s="8" t="n">
        <v>0.0624</v>
      </c>
      <c r="D29" s="8" t="n">
        <v>0.058</v>
      </c>
      <c r="E29" s="9" t="n">
        <v>0</v>
      </c>
      <c r="F29" s="7" t="n">
        <v>38</v>
      </c>
      <c r="G29" s="7" t="n">
        <v>8</v>
      </c>
      <c r="H29" s="7" t="n">
        <v>41</v>
      </c>
      <c r="I29" s="7" t="n">
        <v>21</v>
      </c>
      <c r="J29" s="7" t="n">
        <v>10</v>
      </c>
      <c r="K29" s="10" t="n">
        <f aca="false">IF(F29=0,"–",J29/F29*100)</f>
        <v>26.3157894736842</v>
      </c>
    </row>
    <row r="30" customFormat="false" ht="15" hidden="false" customHeight="false" outlineLevel="0" collapsed="false">
      <c r="A30" s="6" t="s">
        <v>46</v>
      </c>
      <c r="B30" s="7" t="n">
        <v>74</v>
      </c>
      <c r="C30" s="8" t="n">
        <v>0.3036</v>
      </c>
      <c r="D30" s="8" t="n">
        <v>0.001</v>
      </c>
      <c r="E30" s="9" t="n">
        <v>1</v>
      </c>
      <c r="F30" s="7" t="n">
        <v>88</v>
      </c>
      <c r="G30" s="7" t="n">
        <v>22</v>
      </c>
      <c r="H30" s="7" t="n">
        <v>84</v>
      </c>
      <c r="I30" s="7" t="n">
        <v>75</v>
      </c>
      <c r="J30" s="7" t="n">
        <v>45</v>
      </c>
      <c r="K30" s="10" t="n">
        <f aca="false">IF(F30=0,"–",J30/F30*100)</f>
        <v>51.1363636363636</v>
      </c>
    </row>
    <row r="31" customFormat="false" ht="15" hidden="false" customHeight="false" outlineLevel="0" collapsed="false">
      <c r="A31" s="6" t="s">
        <v>47</v>
      </c>
      <c r="B31" s="7" t="n">
        <v>40</v>
      </c>
      <c r="C31" s="8" t="n">
        <v>0.1674</v>
      </c>
      <c r="D31" s="8" t="n">
        <v>0.001</v>
      </c>
      <c r="E31" s="9" t="n">
        <v>1</v>
      </c>
      <c r="F31" s="7" t="n">
        <v>28</v>
      </c>
      <c r="G31" s="7" t="n">
        <v>8</v>
      </c>
      <c r="H31" s="7" t="n">
        <v>30</v>
      </c>
      <c r="I31" s="7" t="n">
        <v>12</v>
      </c>
      <c r="J31" s="7" t="n">
        <v>11</v>
      </c>
      <c r="K31" s="10" t="n">
        <f aca="false">IF(F31=0,"–",J31/F31*100)</f>
        <v>39.2857142857143</v>
      </c>
    </row>
    <row r="32" customFormat="false" ht="15" hidden="false" customHeight="false" outlineLevel="0" collapsed="false">
      <c r="A32" s="6" t="s">
        <v>48</v>
      </c>
      <c r="B32" s="7" t="n">
        <v>11</v>
      </c>
      <c r="C32" s="8" t="n">
        <v>0.0018</v>
      </c>
      <c r="D32" s="8" t="n">
        <v>0.333</v>
      </c>
      <c r="E32" s="9" t="n">
        <v>0</v>
      </c>
      <c r="F32" s="7" t="n">
        <v>20</v>
      </c>
      <c r="G32" s="7" t="n">
        <v>1</v>
      </c>
      <c r="H32" s="7" t="n">
        <v>20</v>
      </c>
      <c r="I32" s="7" t="n">
        <v>7</v>
      </c>
      <c r="J32" s="7" t="n">
        <v>4</v>
      </c>
      <c r="K32" s="10" t="n">
        <f aca="false">IF(F32=0,"–",J32/F32*100)</f>
        <v>20</v>
      </c>
    </row>
    <row r="33" customFormat="false" ht="15" hidden="false" customHeight="false" outlineLevel="0" collapsed="false">
      <c r="A33" s="6" t="s">
        <v>49</v>
      </c>
      <c r="B33" s="7" t="n">
        <v>21</v>
      </c>
      <c r="C33" s="8" t="n">
        <v>-0.055</v>
      </c>
      <c r="D33" s="8" t="n">
        <v>0.074</v>
      </c>
      <c r="E33" s="9" t="n">
        <v>0</v>
      </c>
      <c r="F33" s="7" t="n">
        <v>20</v>
      </c>
      <c r="G33" s="7" t="n">
        <v>1</v>
      </c>
      <c r="H33" s="7" t="n">
        <v>23</v>
      </c>
      <c r="I33" s="7" t="n">
        <v>7</v>
      </c>
      <c r="J33" s="7" t="n">
        <v>4</v>
      </c>
      <c r="K33" s="10" t="n">
        <f aca="false">IF(F33=0,"–",J33/F33*100)</f>
        <v>20</v>
      </c>
    </row>
    <row r="34" customFormat="false" ht="15" hidden="false" customHeight="false" outlineLevel="0" collapsed="false">
      <c r="A34" s="6" t="s">
        <v>50</v>
      </c>
      <c r="B34" s="7" t="n">
        <v>14</v>
      </c>
      <c r="C34" s="8" t="n">
        <v>0.0265</v>
      </c>
      <c r="D34" s="8" t="n">
        <v>0.178</v>
      </c>
      <c r="E34" s="9" t="n">
        <v>0</v>
      </c>
      <c r="F34" s="7" t="n">
        <v>33</v>
      </c>
      <c r="G34" s="7" t="n">
        <v>2</v>
      </c>
      <c r="H34" s="7" t="n">
        <v>35</v>
      </c>
      <c r="I34" s="7" t="n">
        <v>10</v>
      </c>
      <c r="J34" s="7" t="n">
        <v>12</v>
      </c>
      <c r="K34" s="10" t="n">
        <f aca="false">IF(F34=0,"–",J34/F34*100)</f>
        <v>36.3636363636364</v>
      </c>
    </row>
    <row r="35" customFormat="false" ht="15" hidden="false" customHeight="false" outlineLevel="0" collapsed="false">
      <c r="A35" s="6" t="s">
        <v>51</v>
      </c>
      <c r="B35" s="7" t="n">
        <v>16</v>
      </c>
      <c r="C35" s="8" t="n">
        <v>-0.0753</v>
      </c>
      <c r="D35" s="8" t="n">
        <v>0.004</v>
      </c>
      <c r="E35" s="9" t="n">
        <v>1</v>
      </c>
      <c r="F35" s="7" t="n">
        <v>46</v>
      </c>
      <c r="G35" s="7" t="n">
        <v>1</v>
      </c>
      <c r="H35" s="7" t="n">
        <v>45</v>
      </c>
      <c r="I35" s="7" t="n">
        <v>37</v>
      </c>
      <c r="J35" s="7" t="n">
        <v>2</v>
      </c>
      <c r="K35" s="10" t="n">
        <f aca="false">IF(F35=0,"–",J35/F35*100)</f>
        <v>4.34782608695652</v>
      </c>
    </row>
    <row r="36" customFormat="false" ht="15" hidden="false" customHeight="false" outlineLevel="0" collapsed="false">
      <c r="A36" s="6" t="s">
        <v>52</v>
      </c>
      <c r="B36" s="7" t="n">
        <v>26</v>
      </c>
      <c r="C36" s="8" t="n">
        <v>0.0244</v>
      </c>
      <c r="D36" s="8" t="n">
        <v>0.209</v>
      </c>
      <c r="E36" s="9" t="n">
        <v>0</v>
      </c>
      <c r="F36" s="7" t="n">
        <v>26</v>
      </c>
      <c r="G36" s="7" t="n">
        <v>3</v>
      </c>
      <c r="H36" s="7" t="n">
        <v>26</v>
      </c>
      <c r="I36" s="7" t="n">
        <v>11</v>
      </c>
      <c r="J36" s="7" t="n">
        <v>4</v>
      </c>
      <c r="K36" s="10" t="n">
        <f aca="false">IF(F36=0,"–",J36/F36*100)</f>
        <v>15.3846153846154</v>
      </c>
    </row>
    <row r="37" customFormat="false" ht="15" hidden="false" customHeight="false" outlineLevel="0" collapsed="false">
      <c r="A37" s="6" t="s">
        <v>53</v>
      </c>
      <c r="B37" s="7" t="n">
        <v>34</v>
      </c>
      <c r="C37" s="8" t="n">
        <v>-0.0492</v>
      </c>
      <c r="D37" s="8" t="n">
        <v>0.14</v>
      </c>
      <c r="E37" s="9" t="n">
        <v>0</v>
      </c>
      <c r="F37" s="7" t="n">
        <v>42</v>
      </c>
      <c r="G37" s="7" t="n">
        <v>1</v>
      </c>
      <c r="H37" s="7" t="n">
        <v>45</v>
      </c>
      <c r="I37" s="7" t="n">
        <v>32</v>
      </c>
      <c r="J37" s="7" t="n">
        <v>0</v>
      </c>
      <c r="K37" s="10" t="n">
        <f aca="false">IF(F37=0,"–",J37/F37*100)</f>
        <v>0</v>
      </c>
    </row>
    <row r="38" customFormat="false" ht="15" hidden="false" customHeight="false" outlineLevel="0" collapsed="false">
      <c r="A38" s="6" t="s">
        <v>54</v>
      </c>
      <c r="B38" s="7" t="n">
        <v>13</v>
      </c>
      <c r="C38" s="8" t="n">
        <v>-0.0092</v>
      </c>
      <c r="D38" s="8" t="n">
        <v>0.464</v>
      </c>
      <c r="E38" s="9" t="n">
        <v>0</v>
      </c>
      <c r="F38" s="7" t="n">
        <v>26</v>
      </c>
      <c r="G38" s="7" t="n">
        <v>1</v>
      </c>
      <c r="H38" s="7" t="n">
        <v>27</v>
      </c>
      <c r="I38" s="7" t="n">
        <v>8</v>
      </c>
      <c r="J38" s="7" t="n">
        <v>2</v>
      </c>
      <c r="K38" s="10" t="n">
        <f aca="false">IF(F38=0,"–",J38/F38*100)</f>
        <v>7.69230769230769</v>
      </c>
    </row>
    <row r="39" customFormat="false" ht="15" hidden="false" customHeight="false" outlineLevel="0" collapsed="false">
      <c r="A39" s="6" t="s">
        <v>55</v>
      </c>
      <c r="B39" s="7" t="n">
        <v>13</v>
      </c>
      <c r="C39" s="8" t="n">
        <v>0.0086</v>
      </c>
      <c r="D39" s="8" t="n">
        <v>0.314</v>
      </c>
      <c r="E39" s="9" t="n">
        <v>0</v>
      </c>
      <c r="F39" s="7" t="n">
        <v>37</v>
      </c>
      <c r="G39" s="7" t="n">
        <v>2</v>
      </c>
      <c r="H39" s="7" t="n">
        <v>39</v>
      </c>
      <c r="I39" s="7" t="n">
        <v>23</v>
      </c>
      <c r="J39" s="7" t="n">
        <v>7</v>
      </c>
      <c r="K39" s="10" t="n">
        <f aca="false">IF(F39=0,"–",J39/F39*100)</f>
        <v>18.9189189189189</v>
      </c>
    </row>
    <row r="40" customFormat="false" ht="15" hidden="false" customHeight="false" outlineLevel="0" collapsed="false">
      <c r="A40" s="6" t="s">
        <v>56</v>
      </c>
      <c r="B40" s="7" t="n">
        <v>12</v>
      </c>
      <c r="C40" s="8" t="n">
        <v>0.0284</v>
      </c>
      <c r="D40" s="8" t="n">
        <v>0.169</v>
      </c>
      <c r="E40" s="9" t="n">
        <v>0</v>
      </c>
      <c r="F40" s="7" t="n">
        <v>35</v>
      </c>
      <c r="G40" s="7" t="n">
        <v>3</v>
      </c>
      <c r="H40" s="7" t="n">
        <v>35</v>
      </c>
      <c r="I40" s="7" t="n">
        <v>22</v>
      </c>
      <c r="J40" s="7" t="n">
        <v>4</v>
      </c>
      <c r="K40" s="10" t="n">
        <f aca="false">IF(F40=0,"–",J40/F40*100)</f>
        <v>11.4285714285714</v>
      </c>
    </row>
    <row r="41" customFormat="false" ht="15" hidden="false" customHeight="false" outlineLevel="0" collapsed="false">
      <c r="A41" s="6" t="s">
        <v>57</v>
      </c>
      <c r="B41" s="7" t="n">
        <v>22</v>
      </c>
      <c r="C41" s="8" t="n">
        <v>0.113</v>
      </c>
      <c r="D41" s="8" t="n">
        <v>0.01</v>
      </c>
      <c r="E41" s="9" t="n">
        <v>1</v>
      </c>
      <c r="F41" s="7" t="n">
        <v>20</v>
      </c>
      <c r="G41" s="7" t="n">
        <v>5</v>
      </c>
      <c r="H41" s="7" t="n">
        <v>20</v>
      </c>
      <c r="I41" s="7" t="n">
        <v>4</v>
      </c>
      <c r="J41" s="7" t="n">
        <v>7</v>
      </c>
      <c r="K41" s="10" t="n">
        <f aca="false">IF(F41=0,"–",J41/F41*100)</f>
        <v>35</v>
      </c>
    </row>
    <row r="42" customFormat="false" ht="15" hidden="false" customHeight="false" outlineLevel="0" collapsed="false">
      <c r="A42" s="6" t="s">
        <v>58</v>
      </c>
      <c r="B42" s="7" t="n">
        <v>14</v>
      </c>
      <c r="C42" s="8" t="n">
        <v>0.0834</v>
      </c>
      <c r="D42" s="8" t="n">
        <v>0.044</v>
      </c>
      <c r="E42" s="9" t="n">
        <v>1</v>
      </c>
      <c r="F42" s="7" t="n">
        <v>20</v>
      </c>
      <c r="G42" s="7" t="n">
        <v>4</v>
      </c>
      <c r="H42" s="7" t="n">
        <v>22</v>
      </c>
      <c r="I42" s="7" t="n">
        <v>5</v>
      </c>
      <c r="J42" s="7" t="n">
        <v>7</v>
      </c>
      <c r="K42" s="10" t="n">
        <f aca="false">IF(F42=0,"–",J42/F42*100)</f>
        <v>35</v>
      </c>
    </row>
    <row r="43" customFormat="false" ht="15" hidden="false" customHeight="false" outlineLevel="0" collapsed="false">
      <c r="A43" s="6" t="s">
        <v>59</v>
      </c>
      <c r="B43" s="7" t="n">
        <v>26</v>
      </c>
      <c r="C43" s="8" t="n">
        <v>-0.0302</v>
      </c>
      <c r="D43" s="8" t="n">
        <v>0.302</v>
      </c>
      <c r="E43" s="9" t="n">
        <v>0</v>
      </c>
      <c r="F43" s="7" t="n">
        <v>51</v>
      </c>
      <c r="G43" s="7" t="n">
        <v>2</v>
      </c>
      <c r="H43" s="7" t="n">
        <v>51</v>
      </c>
      <c r="I43" s="7" t="n">
        <v>39</v>
      </c>
      <c r="J43" s="7" t="n">
        <v>6</v>
      </c>
      <c r="K43" s="10" t="n">
        <f aca="false">IF(F43=0,"–",J43/F43*100)</f>
        <v>11.7647058823529</v>
      </c>
    </row>
    <row r="44" customFormat="false" ht="15" hidden="false" customHeight="false" outlineLevel="0" collapsed="false">
      <c r="A44" s="6" t="s">
        <v>60</v>
      </c>
      <c r="B44" s="7" t="n">
        <v>46</v>
      </c>
      <c r="C44" s="8" t="n">
        <v>0.0768</v>
      </c>
      <c r="D44" s="8" t="n">
        <v>0.032</v>
      </c>
      <c r="E44" s="9" t="n">
        <v>1</v>
      </c>
      <c r="F44" s="7" t="n">
        <v>25</v>
      </c>
      <c r="G44" s="7" t="n">
        <v>5</v>
      </c>
      <c r="H44" s="7" t="n">
        <v>25</v>
      </c>
      <c r="I44" s="7" t="n">
        <v>7</v>
      </c>
      <c r="J44" s="7" t="n">
        <v>7</v>
      </c>
      <c r="K44" s="10" t="n">
        <f aca="false">IF(F44=0,"–",J44/F44*100)</f>
        <v>28</v>
      </c>
    </row>
    <row r="45" customFormat="false" ht="15" hidden="false" customHeight="false" outlineLevel="0" collapsed="false">
      <c r="A45" s="6" t="s">
        <v>61</v>
      </c>
      <c r="B45" s="7" t="n">
        <v>27</v>
      </c>
      <c r="C45" s="8" t="n">
        <v>0.1277</v>
      </c>
      <c r="D45" s="8" t="n">
        <v>0.007</v>
      </c>
      <c r="E45" s="9" t="n">
        <v>1</v>
      </c>
      <c r="F45" s="7" t="n">
        <v>95</v>
      </c>
      <c r="G45" s="7" t="n">
        <v>6</v>
      </c>
      <c r="H45" s="7" t="n">
        <v>93</v>
      </c>
      <c r="I45" s="7" t="n">
        <v>81</v>
      </c>
      <c r="J45" s="7" t="n">
        <v>8</v>
      </c>
      <c r="K45" s="10" t="n">
        <f aca="false">IF(F45=0,"–",J45/F45*100)</f>
        <v>8.42105263157895</v>
      </c>
    </row>
    <row r="46" customFormat="false" ht="15" hidden="false" customHeight="false" outlineLevel="0" collapsed="false">
      <c r="A46" s="6" t="s">
        <v>62</v>
      </c>
      <c r="B46" s="7" t="n">
        <v>22</v>
      </c>
      <c r="C46" s="8" t="n">
        <v>-0.0463</v>
      </c>
      <c r="D46" s="8" t="n">
        <v>0.154</v>
      </c>
      <c r="E46" s="9" t="n">
        <v>0</v>
      </c>
      <c r="F46" s="7" t="n">
        <v>28</v>
      </c>
      <c r="G46" s="7" t="n">
        <v>0</v>
      </c>
      <c r="H46" s="7" t="n">
        <v>25</v>
      </c>
      <c r="I46" s="7" t="n">
        <v>7</v>
      </c>
      <c r="J46" s="7" t="n">
        <v>1</v>
      </c>
      <c r="K46" s="10" t="n">
        <f aca="false">IF(F46=0,"–",J46/F46*100)</f>
        <v>3.57142857142857</v>
      </c>
    </row>
    <row r="47" customFormat="false" ht="15" hidden="false" customHeight="false" outlineLevel="0" collapsed="false">
      <c r="A47" s="6" t="s">
        <v>63</v>
      </c>
      <c r="B47" s="7" t="n">
        <v>15</v>
      </c>
      <c r="C47" s="8" t="n">
        <v>-0.075</v>
      </c>
      <c r="D47" s="8" t="n">
        <v>0.001</v>
      </c>
      <c r="E47" s="9" t="n">
        <v>1</v>
      </c>
      <c r="F47" s="7" t="n">
        <v>107</v>
      </c>
      <c r="G47" s="7" t="n">
        <v>0</v>
      </c>
      <c r="H47" s="7" t="n">
        <v>108</v>
      </c>
      <c r="I47" s="7" t="n">
        <v>100</v>
      </c>
      <c r="J47" s="7" t="n">
        <v>13</v>
      </c>
      <c r="K47" s="10" t="n">
        <f aca="false">IF(F47=0,"–",J47/F47*100)</f>
        <v>12.1495327102804</v>
      </c>
    </row>
    <row r="48" customFormat="false" ht="15" hidden="false" customHeight="false" outlineLevel="0" collapsed="false">
      <c r="A48" s="6" t="s">
        <v>64</v>
      </c>
      <c r="B48" s="7" t="n">
        <v>133</v>
      </c>
      <c r="C48" s="8" t="n">
        <v>-0.0062</v>
      </c>
      <c r="D48" s="8" t="n">
        <v>0.487</v>
      </c>
      <c r="E48" s="9" t="n">
        <v>0</v>
      </c>
      <c r="F48" s="7" t="n">
        <v>26</v>
      </c>
      <c r="G48" s="7" t="n">
        <v>13</v>
      </c>
      <c r="H48" s="7" t="n">
        <v>27</v>
      </c>
      <c r="I48" s="7" t="n">
        <v>3</v>
      </c>
      <c r="J48" s="7" t="n">
        <v>5</v>
      </c>
      <c r="K48" s="10" t="n">
        <f aca="false">IF(F48=0,"–",J48/F48*100)</f>
        <v>19.2307692307692</v>
      </c>
    </row>
    <row r="49" customFormat="false" ht="15" hidden="false" customHeight="false" outlineLevel="0" collapsed="false">
      <c r="A49" s="6" t="s">
        <v>65</v>
      </c>
      <c r="B49" s="7" t="n">
        <v>22</v>
      </c>
      <c r="C49" s="8" t="n">
        <v>-0.0586</v>
      </c>
      <c r="D49" s="8" t="n">
        <v>0.069</v>
      </c>
      <c r="E49" s="9" t="n">
        <v>0</v>
      </c>
      <c r="F49" s="7" t="n">
        <v>35</v>
      </c>
      <c r="G49" s="7" t="n">
        <v>1</v>
      </c>
      <c r="H49" s="7" t="n">
        <v>37</v>
      </c>
      <c r="I49" s="7" t="n">
        <v>20</v>
      </c>
      <c r="J49" s="7" t="n">
        <v>5</v>
      </c>
      <c r="K49" s="10" t="n">
        <f aca="false">IF(F49=0,"–",J49/F49*100)</f>
        <v>14.2857142857143</v>
      </c>
    </row>
    <row r="50" customFormat="false" ht="15" hidden="false" customHeight="false" outlineLevel="0" collapsed="false">
      <c r="A50" s="6" t="s">
        <v>66</v>
      </c>
      <c r="B50" s="7" t="n">
        <v>12</v>
      </c>
      <c r="C50" s="8" t="n">
        <v>0.0171</v>
      </c>
      <c r="D50" s="8" t="n">
        <v>0.241</v>
      </c>
      <c r="E50" s="9" t="n">
        <v>0</v>
      </c>
      <c r="F50" s="7" t="n">
        <v>16</v>
      </c>
      <c r="G50" s="7" t="n">
        <v>1</v>
      </c>
      <c r="H50" s="7" t="n">
        <v>14</v>
      </c>
      <c r="I50" s="7" t="n">
        <v>2</v>
      </c>
      <c r="J50" s="7" t="n">
        <v>2</v>
      </c>
      <c r="K50" s="10" t="n">
        <f aca="false">IF(F50=0,"–",J50/F50*100)</f>
        <v>12.5</v>
      </c>
    </row>
    <row r="51" customFormat="false" ht="15" hidden="false" customHeight="false" outlineLevel="0" collapsed="false">
      <c r="A51" s="6" t="s">
        <v>67</v>
      </c>
      <c r="B51" s="7" t="n">
        <v>34</v>
      </c>
      <c r="C51" s="8" t="n">
        <v>0.1023</v>
      </c>
      <c r="D51" s="8" t="n">
        <v>0.019</v>
      </c>
      <c r="E51" s="9" t="n">
        <v>1</v>
      </c>
      <c r="F51" s="7" t="n">
        <v>31</v>
      </c>
      <c r="G51" s="7" t="n">
        <v>6</v>
      </c>
      <c r="H51" s="7" t="n">
        <v>31</v>
      </c>
      <c r="I51" s="7" t="n">
        <v>16</v>
      </c>
      <c r="J51" s="7" t="n">
        <v>5</v>
      </c>
      <c r="K51" s="10" t="n">
        <f aca="false">IF(F51=0,"–",J51/F51*100)</f>
        <v>16.1290322580645</v>
      </c>
    </row>
    <row r="52" customFormat="false" ht="15" hidden="false" customHeight="false" outlineLevel="0" collapsed="false">
      <c r="A52" s="6" t="s">
        <v>68</v>
      </c>
      <c r="B52" s="7" t="n">
        <v>20</v>
      </c>
      <c r="C52" s="8" t="n">
        <v>0.0038</v>
      </c>
      <c r="D52" s="8" t="n">
        <v>0.392</v>
      </c>
      <c r="E52" s="9" t="n">
        <v>0</v>
      </c>
      <c r="F52" s="7" t="n">
        <v>29</v>
      </c>
      <c r="G52" s="7" t="n">
        <v>3</v>
      </c>
      <c r="H52" s="7" t="n">
        <v>28</v>
      </c>
      <c r="I52" s="7" t="n">
        <v>9</v>
      </c>
      <c r="J52" s="7" t="n">
        <v>1</v>
      </c>
      <c r="K52" s="10" t="n">
        <f aca="false">IF(F52=0,"–",J52/F52*100)</f>
        <v>3.44827586206897</v>
      </c>
    </row>
    <row r="53" customFormat="false" ht="15" hidden="false" customHeight="false" outlineLevel="0" collapsed="false">
      <c r="A53" s="6" t="s">
        <v>69</v>
      </c>
      <c r="B53" s="7" t="n">
        <v>15</v>
      </c>
      <c r="C53" s="8" t="n">
        <v>0.0117</v>
      </c>
      <c r="D53" s="8" t="n">
        <v>0.269</v>
      </c>
      <c r="E53" s="9" t="n">
        <v>0</v>
      </c>
      <c r="F53" s="7" t="n">
        <v>113</v>
      </c>
      <c r="G53" s="7" t="n">
        <v>1</v>
      </c>
      <c r="H53" s="7" t="n">
        <v>112</v>
      </c>
      <c r="I53" s="7" t="n">
        <v>101</v>
      </c>
      <c r="J53" s="7" t="n">
        <v>22</v>
      </c>
      <c r="K53" s="10" t="n">
        <f aca="false">IF(F53=0,"–",J53/F53*100)</f>
        <v>19.4690265486726</v>
      </c>
    </row>
    <row r="54" customFormat="false" ht="15" hidden="false" customHeight="false" outlineLevel="0" collapsed="false">
      <c r="A54" s="6" t="s">
        <v>70</v>
      </c>
      <c r="B54" s="7" t="n">
        <v>98</v>
      </c>
      <c r="C54" s="8" t="n">
        <v>0.022</v>
      </c>
      <c r="D54" s="8" t="n">
        <v>0.269</v>
      </c>
      <c r="E54" s="9" t="n">
        <v>0</v>
      </c>
      <c r="F54" s="7" t="n">
        <v>25</v>
      </c>
      <c r="G54" s="7" t="n">
        <v>8</v>
      </c>
      <c r="H54" s="7" t="n">
        <v>28</v>
      </c>
      <c r="I54" s="7" t="n">
        <v>4</v>
      </c>
      <c r="J54" s="7" t="n">
        <v>3</v>
      </c>
      <c r="K54" s="10" t="n">
        <f aca="false">IF(F54=0,"–",J54/F54*100)</f>
        <v>12</v>
      </c>
    </row>
    <row r="55" customFormat="false" ht="15" hidden="false" customHeight="false" outlineLevel="0" collapsed="false">
      <c r="A55" s="6" t="s">
        <v>71</v>
      </c>
      <c r="B55" s="7" t="n">
        <v>11</v>
      </c>
      <c r="C55" s="8" t="n">
        <v>-0.0268</v>
      </c>
      <c r="D55" s="8" t="n">
        <v>0.349</v>
      </c>
      <c r="E55" s="9" t="n">
        <v>0</v>
      </c>
      <c r="F55" s="7" t="n">
        <v>26</v>
      </c>
      <c r="G55" s="7" t="n">
        <v>1</v>
      </c>
      <c r="H55" s="7" t="n">
        <v>27</v>
      </c>
      <c r="I55" s="7" t="n">
        <v>2</v>
      </c>
      <c r="J55" s="7" t="n">
        <v>2</v>
      </c>
      <c r="K55" s="10" t="n">
        <f aca="false">IF(F55=0,"–",J55/F55*100)</f>
        <v>7.69230769230769</v>
      </c>
    </row>
    <row r="56" customFormat="false" ht="15" hidden="false" customHeight="false" outlineLevel="0" collapsed="false">
      <c r="A56" s="6" t="s">
        <v>72</v>
      </c>
      <c r="B56" s="7" t="n">
        <v>26</v>
      </c>
      <c r="C56" s="8" t="n">
        <v>-0.0301</v>
      </c>
      <c r="D56" s="8" t="n">
        <v>0.282</v>
      </c>
      <c r="E56" s="9" t="n">
        <v>0</v>
      </c>
      <c r="F56" s="7" t="n">
        <v>23</v>
      </c>
      <c r="G56" s="7" t="n">
        <v>2</v>
      </c>
      <c r="H56" s="7" t="n">
        <v>24</v>
      </c>
      <c r="I56" s="7" t="n">
        <v>7</v>
      </c>
      <c r="J56" s="7" t="n">
        <v>2</v>
      </c>
      <c r="K56" s="10" t="n">
        <f aca="false">IF(F56=0,"–",J56/F56*100)</f>
        <v>8.69565217391304</v>
      </c>
    </row>
    <row r="57" customFormat="false" ht="15" hidden="false" customHeight="false" outlineLevel="0" collapsed="false">
      <c r="A57" s="6" t="s">
        <v>73</v>
      </c>
      <c r="B57" s="7" t="n">
        <v>12</v>
      </c>
      <c r="C57" s="8" t="n">
        <v>0.0774</v>
      </c>
      <c r="D57" s="8" t="n">
        <v>0.036</v>
      </c>
      <c r="E57" s="9" t="n">
        <v>1</v>
      </c>
      <c r="F57" s="7" t="n">
        <v>131</v>
      </c>
      <c r="G57" s="7" t="n">
        <v>4</v>
      </c>
      <c r="H57" s="7" t="n">
        <v>131</v>
      </c>
      <c r="I57" s="7" t="n">
        <v>124</v>
      </c>
      <c r="J57" s="7" t="n">
        <v>27</v>
      </c>
      <c r="K57" s="10" t="n">
        <f aca="false">IF(F57=0,"–",J57/F57*100)</f>
        <v>20.6106870229008</v>
      </c>
    </row>
    <row r="58" customFormat="false" ht="15" hidden="false" customHeight="false" outlineLevel="0" collapsed="false">
      <c r="A58" s="6" t="s">
        <v>74</v>
      </c>
      <c r="B58" s="7" t="n">
        <v>130</v>
      </c>
      <c r="C58" s="8" t="n">
        <v>0.0571</v>
      </c>
      <c r="D58" s="8" t="n">
        <v>0.061</v>
      </c>
      <c r="E58" s="9" t="n">
        <v>0</v>
      </c>
      <c r="F58" s="7" t="n">
        <v>24</v>
      </c>
      <c r="G58" s="7" t="n">
        <v>7</v>
      </c>
      <c r="H58" s="7" t="n">
        <v>26</v>
      </c>
      <c r="I58" s="7" t="n">
        <v>4</v>
      </c>
      <c r="J58" s="7" t="n">
        <v>3</v>
      </c>
      <c r="K58" s="10" t="n">
        <f aca="false">IF(F58=0,"–",J58/F58*100)</f>
        <v>12.5</v>
      </c>
    </row>
    <row r="59" customFormat="false" ht="15" hidden="false" customHeight="false" outlineLevel="0" collapsed="false">
      <c r="A59" s="6" t="s">
        <v>75</v>
      </c>
      <c r="B59" s="7" t="n">
        <v>50</v>
      </c>
      <c r="C59" s="8" t="n">
        <v>-0.0201</v>
      </c>
      <c r="D59" s="8" t="n">
        <v>0.392</v>
      </c>
      <c r="E59" s="9" t="n">
        <v>0</v>
      </c>
      <c r="F59" s="7" t="n">
        <v>28</v>
      </c>
      <c r="G59" s="7" t="n">
        <v>6</v>
      </c>
      <c r="H59" s="7" t="n">
        <v>27</v>
      </c>
      <c r="I59" s="7" t="n">
        <v>8</v>
      </c>
      <c r="J59" s="7" t="n">
        <v>8</v>
      </c>
      <c r="K59" s="10" t="n">
        <f aca="false">IF(F59=0,"–",J59/F59*100)</f>
        <v>28.5714285714286</v>
      </c>
    </row>
    <row r="60" customFormat="false" ht="15" hidden="false" customHeight="false" outlineLevel="0" collapsed="false">
      <c r="A60" s="6" t="s">
        <v>76</v>
      </c>
      <c r="B60" s="7" t="n">
        <v>11</v>
      </c>
      <c r="C60" s="8" t="n">
        <v>0.0239</v>
      </c>
      <c r="D60" s="8" t="n">
        <v>0.21</v>
      </c>
      <c r="E60" s="9" t="n">
        <v>0</v>
      </c>
      <c r="F60" s="7" t="n">
        <v>137</v>
      </c>
      <c r="G60" s="7" t="n">
        <v>2</v>
      </c>
      <c r="H60" s="7" t="n">
        <v>138</v>
      </c>
      <c r="I60" s="7" t="n">
        <v>129</v>
      </c>
      <c r="J60" s="7" t="n">
        <v>3</v>
      </c>
      <c r="K60" s="10" t="n">
        <f aca="false">IF(F60=0,"–",J60/F60*100)</f>
        <v>2.18978102189781</v>
      </c>
    </row>
    <row r="61" customFormat="false" ht="15" hidden="false" customHeight="false" outlineLevel="0" collapsed="false">
      <c r="A61" s="6" t="s">
        <v>77</v>
      </c>
      <c r="B61" s="7" t="n">
        <v>74</v>
      </c>
      <c r="C61" s="8" t="n">
        <v>-0.0066</v>
      </c>
      <c r="D61" s="8" t="n">
        <v>0.499</v>
      </c>
      <c r="E61" s="9" t="n">
        <v>0</v>
      </c>
      <c r="F61" s="7" t="n">
        <v>34</v>
      </c>
      <c r="G61" s="7" t="n">
        <v>7</v>
      </c>
      <c r="H61" s="7" t="n">
        <v>34</v>
      </c>
      <c r="I61" s="7" t="n">
        <v>12</v>
      </c>
      <c r="J61" s="7" t="n">
        <v>4</v>
      </c>
      <c r="K61" s="10" t="n">
        <f aca="false">IF(F61=0,"–",J61/F61*100)</f>
        <v>11.7647058823529</v>
      </c>
    </row>
    <row r="62" customFormat="false" ht="15" hidden="false" customHeight="false" outlineLevel="0" collapsed="false">
      <c r="A62" s="6" t="s">
        <v>78</v>
      </c>
      <c r="B62" s="7" t="n">
        <v>20</v>
      </c>
      <c r="C62" s="8" t="n">
        <v>0.0279</v>
      </c>
      <c r="D62" s="8" t="n">
        <v>0.19</v>
      </c>
      <c r="E62" s="9" t="n">
        <v>0</v>
      </c>
      <c r="F62" s="7" t="n">
        <v>26</v>
      </c>
      <c r="G62" s="7" t="n">
        <v>3</v>
      </c>
      <c r="H62" s="7" t="n">
        <v>28</v>
      </c>
      <c r="I62" s="7" t="n">
        <v>5</v>
      </c>
      <c r="J62" s="7" t="n">
        <v>5</v>
      </c>
      <c r="K62" s="10" t="n">
        <f aca="false">IF(F62=0,"–",J62/F62*100)</f>
        <v>19.2307692307692</v>
      </c>
    </row>
    <row r="63" customFormat="false" ht="15" hidden="false" customHeight="false" outlineLevel="0" collapsed="false">
      <c r="A63" s="6" t="s">
        <v>79</v>
      </c>
      <c r="B63" s="7" t="n">
        <v>13</v>
      </c>
      <c r="C63" s="8" t="n">
        <v>-0.0008</v>
      </c>
      <c r="D63" s="8" t="n">
        <v>0.349</v>
      </c>
      <c r="E63" s="9" t="n">
        <v>0</v>
      </c>
      <c r="F63" s="7" t="n">
        <v>154</v>
      </c>
      <c r="G63" s="7" t="n">
        <v>2</v>
      </c>
      <c r="H63" s="7" t="n">
        <v>155</v>
      </c>
      <c r="I63" s="7" t="n">
        <v>150</v>
      </c>
      <c r="J63" s="7" t="n">
        <v>31</v>
      </c>
      <c r="K63" s="10" t="n">
        <f aca="false">IF(F63=0,"–",J63/F63*100)</f>
        <v>20.1298701298701</v>
      </c>
    </row>
    <row r="64" customFormat="false" ht="15" hidden="false" customHeight="false" outlineLevel="0" collapsed="false">
      <c r="A64" s="6" t="s">
        <v>80</v>
      </c>
      <c r="B64" s="7" t="n">
        <v>156</v>
      </c>
      <c r="C64" s="8" t="n">
        <v>-0.0186</v>
      </c>
      <c r="D64" s="8" t="n">
        <v>0.371</v>
      </c>
      <c r="E64" s="9" t="n">
        <v>0</v>
      </c>
      <c r="F64" s="7" t="n">
        <v>35</v>
      </c>
      <c r="G64" s="7" t="n">
        <v>13</v>
      </c>
      <c r="H64" s="7" t="n">
        <v>34</v>
      </c>
      <c r="I64" s="7" t="n">
        <v>3</v>
      </c>
      <c r="J64" s="7" t="n">
        <v>5</v>
      </c>
      <c r="K64" s="10" t="n">
        <f aca="false">IF(F64=0,"–",J64/F64*100)</f>
        <v>14.2857142857143</v>
      </c>
    </row>
    <row r="65" customFormat="false" ht="15" hidden="false" customHeight="false" outlineLevel="0" collapsed="false">
      <c r="A65" s="6" t="s">
        <v>81</v>
      </c>
      <c r="B65" s="7" t="n">
        <v>10</v>
      </c>
      <c r="C65" s="8" t="n">
        <v>0.0457</v>
      </c>
      <c r="D65" s="8" t="n">
        <v>0.098</v>
      </c>
      <c r="E65" s="9" t="n">
        <v>0</v>
      </c>
      <c r="F65" s="7" t="n">
        <v>141</v>
      </c>
      <c r="G65" s="7" t="n">
        <v>1</v>
      </c>
      <c r="H65" s="7" t="n">
        <v>139</v>
      </c>
      <c r="I65" s="7" t="n">
        <v>131</v>
      </c>
      <c r="J65" s="7" t="n">
        <v>37</v>
      </c>
      <c r="K65" s="10" t="n">
        <f aca="false">IF(F65=0,"–",J65/F65*100)</f>
        <v>26.2411347517731</v>
      </c>
    </row>
    <row r="66" customFormat="false" ht="15" hidden="false" customHeight="false" outlineLevel="0" collapsed="false">
      <c r="A66" s="6" t="s">
        <v>82</v>
      </c>
      <c r="B66" s="7" t="n">
        <v>10</v>
      </c>
      <c r="C66" s="8" t="n">
        <v>-0.0616</v>
      </c>
      <c r="D66" s="8" t="n">
        <v>0.001</v>
      </c>
      <c r="E66" s="9" t="n">
        <v>1</v>
      </c>
      <c r="F66" s="7" t="n">
        <v>78</v>
      </c>
      <c r="G66" s="7" t="n">
        <v>0</v>
      </c>
      <c r="H66" s="7" t="n">
        <v>78</v>
      </c>
      <c r="I66" s="7" t="n">
        <v>61</v>
      </c>
      <c r="J66" s="7" t="n">
        <v>6</v>
      </c>
      <c r="K66" s="10" t="n">
        <f aca="false">IF(F66=0,"–",J66/F66*100)</f>
        <v>7.69230769230769</v>
      </c>
    </row>
    <row r="67" customFormat="false" ht="15" hidden="false" customHeight="false" outlineLevel="0" collapsed="false">
      <c r="A67" s="6" t="s">
        <v>83</v>
      </c>
      <c r="B67" s="7" t="n">
        <v>20</v>
      </c>
      <c r="C67" s="8" t="n">
        <v>0.1022</v>
      </c>
      <c r="D67" s="8" t="n">
        <v>0.016</v>
      </c>
      <c r="E67" s="9" t="n">
        <v>1</v>
      </c>
      <c r="F67" s="7" t="n">
        <v>32</v>
      </c>
      <c r="G67" s="7" t="n">
        <v>7</v>
      </c>
      <c r="H67" s="7" t="n">
        <v>33</v>
      </c>
      <c r="I67" s="7" t="n">
        <v>14</v>
      </c>
      <c r="J67" s="7" t="n">
        <v>9</v>
      </c>
      <c r="K67" s="10" t="n">
        <f aca="false">IF(F67=0,"–",J67/F67*100)</f>
        <v>28.125</v>
      </c>
    </row>
    <row r="68" customFormat="false" ht="15" hidden="false" customHeight="false" outlineLevel="0" collapsed="false">
      <c r="A68" s="6" t="s">
        <v>84</v>
      </c>
      <c r="B68" s="7" t="n">
        <v>21</v>
      </c>
      <c r="C68" s="8" t="n">
        <v>0.0121</v>
      </c>
      <c r="D68" s="8" t="n">
        <v>0.308</v>
      </c>
      <c r="E68" s="9" t="n">
        <v>0</v>
      </c>
      <c r="F68" s="7" t="n">
        <v>51</v>
      </c>
      <c r="G68" s="7" t="n">
        <v>4</v>
      </c>
      <c r="H68" s="7" t="n">
        <v>52</v>
      </c>
      <c r="I68" s="7" t="n">
        <v>36</v>
      </c>
      <c r="J68" s="7" t="n">
        <v>8</v>
      </c>
      <c r="K68" s="10" t="n">
        <f aca="false">IF(F68=0,"–",J68/F68*100)</f>
        <v>15.6862745098039</v>
      </c>
    </row>
    <row r="69" customFormat="false" ht="15" hidden="false" customHeight="false" outlineLevel="0" collapsed="false">
      <c r="A69" s="6" t="s">
        <v>85</v>
      </c>
      <c r="B69" s="7" t="n">
        <v>13</v>
      </c>
      <c r="C69" s="8" t="n">
        <v>-0.0148</v>
      </c>
      <c r="D69" s="8" t="n">
        <v>0.48</v>
      </c>
      <c r="E69" s="9" t="n">
        <v>0</v>
      </c>
      <c r="F69" s="7" t="n">
        <v>44</v>
      </c>
      <c r="G69" s="7" t="n">
        <v>2</v>
      </c>
      <c r="H69" s="7" t="n">
        <v>45</v>
      </c>
      <c r="I69" s="7" t="n">
        <v>29</v>
      </c>
      <c r="J69" s="7" t="n">
        <v>5</v>
      </c>
      <c r="K69" s="10" t="n">
        <f aca="false">IF(F69=0,"–",J69/F69*100)</f>
        <v>11.3636363636364</v>
      </c>
    </row>
    <row r="70" customFormat="false" ht="15" hidden="false" customHeight="false" outlineLevel="0" collapsed="false">
      <c r="A70" s="6" t="s">
        <v>86</v>
      </c>
      <c r="B70" s="7" t="n">
        <v>67</v>
      </c>
      <c r="C70" s="8" t="n">
        <v>0.0219</v>
      </c>
      <c r="D70" s="8" t="n">
        <v>0.253</v>
      </c>
      <c r="E70" s="9" t="n">
        <v>0</v>
      </c>
      <c r="F70" s="7" t="n">
        <v>26</v>
      </c>
      <c r="G70" s="7" t="n">
        <v>9</v>
      </c>
      <c r="H70" s="7" t="n">
        <v>23</v>
      </c>
      <c r="I70" s="7" t="n">
        <v>5</v>
      </c>
      <c r="J70" s="7" t="n">
        <v>4</v>
      </c>
      <c r="K70" s="10" t="n">
        <f aca="false">IF(F70=0,"–",J70/F70*100)</f>
        <v>15.3846153846154</v>
      </c>
    </row>
    <row r="71" customFormat="false" ht="15" hidden="false" customHeight="false" outlineLevel="0" collapsed="false">
      <c r="A71" s="6" t="s">
        <v>87</v>
      </c>
      <c r="B71" s="7" t="n">
        <v>17</v>
      </c>
      <c r="C71" s="8" t="n">
        <v>0.0963</v>
      </c>
      <c r="D71" s="8" t="n">
        <v>0.025</v>
      </c>
      <c r="E71" s="9" t="n">
        <v>1</v>
      </c>
      <c r="F71" s="7" t="n">
        <v>57</v>
      </c>
      <c r="G71" s="7" t="n">
        <v>3</v>
      </c>
      <c r="H71" s="7" t="n">
        <v>57</v>
      </c>
      <c r="I71" s="7" t="n">
        <v>41</v>
      </c>
      <c r="J71" s="7" t="n">
        <v>6</v>
      </c>
      <c r="K71" s="10" t="n">
        <f aca="false">IF(F71=0,"–",J71/F71*100)</f>
        <v>10.5263157894737</v>
      </c>
    </row>
    <row r="72" customFormat="false" ht="15" hidden="false" customHeight="false" outlineLevel="0" collapsed="false">
      <c r="A72" s="6" t="s">
        <v>88</v>
      </c>
      <c r="B72" s="7" t="n">
        <v>30</v>
      </c>
      <c r="C72" s="8" t="n">
        <v>0.1682</v>
      </c>
      <c r="D72" s="8" t="n">
        <v>0.001</v>
      </c>
      <c r="E72" s="9" t="n">
        <v>1</v>
      </c>
      <c r="F72" s="7" t="n">
        <v>28</v>
      </c>
      <c r="G72" s="7" t="n">
        <v>7</v>
      </c>
      <c r="H72" s="7" t="n">
        <v>30</v>
      </c>
      <c r="I72" s="7" t="n">
        <v>14</v>
      </c>
      <c r="J72" s="7" t="n">
        <v>3</v>
      </c>
      <c r="K72" s="10" t="n">
        <f aca="false">IF(F72=0,"–",J72/F72*100)</f>
        <v>10.7142857142857</v>
      </c>
    </row>
    <row r="73" customFormat="false" ht="15" hidden="false" customHeight="false" outlineLevel="0" collapsed="false">
      <c r="A73" s="6" t="s">
        <v>89</v>
      </c>
      <c r="B73" s="7" t="n">
        <v>10</v>
      </c>
      <c r="C73" s="8" t="n">
        <v>0.1612</v>
      </c>
      <c r="D73" s="8" t="n">
        <v>0.008</v>
      </c>
      <c r="E73" s="9" t="n">
        <v>1</v>
      </c>
      <c r="F73" s="7" t="n">
        <v>19</v>
      </c>
      <c r="G73" s="7" t="n">
        <v>4</v>
      </c>
      <c r="H73" s="7" t="n">
        <v>21</v>
      </c>
      <c r="I73" s="7" t="n">
        <v>5</v>
      </c>
      <c r="J73" s="7" t="n">
        <v>6</v>
      </c>
      <c r="K73" s="10" t="n">
        <f aca="false">IF(F73=0,"–",J73/F73*100)</f>
        <v>31.5789473684211</v>
      </c>
    </row>
    <row r="74" customFormat="false" ht="15" hidden="false" customHeight="false" outlineLevel="0" collapsed="false">
      <c r="A74" s="6" t="s">
        <v>90</v>
      </c>
      <c r="B74" s="7" t="n">
        <v>10</v>
      </c>
      <c r="C74" s="8" t="n">
        <v>0.243</v>
      </c>
      <c r="D74" s="8" t="n">
        <v>0.001</v>
      </c>
      <c r="E74" s="9" t="n">
        <v>1</v>
      </c>
      <c r="F74" s="7" t="n">
        <v>17</v>
      </c>
      <c r="G74" s="7" t="n">
        <v>5</v>
      </c>
      <c r="H74" s="7" t="n">
        <v>17</v>
      </c>
      <c r="I74" s="7" t="n">
        <v>11</v>
      </c>
      <c r="J74" s="7" t="n">
        <v>8</v>
      </c>
      <c r="K74" s="10" t="n">
        <f aca="false">IF(F74=0,"–",J74/F74*100)</f>
        <v>47.0588235294118</v>
      </c>
    </row>
    <row r="75" customFormat="false" ht="15" hidden="false" customHeight="false" outlineLevel="0" collapsed="false">
      <c r="A75" s="6" t="s">
        <v>91</v>
      </c>
      <c r="B75" s="7" t="n">
        <v>21</v>
      </c>
      <c r="C75" s="8" t="n">
        <v>0.1557</v>
      </c>
      <c r="D75" s="8" t="n">
        <v>0.003</v>
      </c>
      <c r="E75" s="9" t="n">
        <v>1</v>
      </c>
      <c r="F75" s="7" t="n">
        <v>63</v>
      </c>
      <c r="G75" s="7" t="n">
        <v>5</v>
      </c>
      <c r="H75" s="7" t="n">
        <v>65</v>
      </c>
      <c r="I75" s="7" t="n">
        <v>54</v>
      </c>
      <c r="J75" s="7" t="n">
        <v>4</v>
      </c>
      <c r="K75" s="10" t="n">
        <f aca="false">IF(F75=0,"–",J75/F75*100)</f>
        <v>6.34920634920635</v>
      </c>
    </row>
    <row r="76" customFormat="false" ht="15" hidden="false" customHeight="false" outlineLevel="0" collapsed="false">
      <c r="A76" s="6" t="s">
        <v>92</v>
      </c>
      <c r="B76" s="7" t="n">
        <v>25</v>
      </c>
      <c r="C76" s="8" t="n">
        <v>0.1294</v>
      </c>
      <c r="D76" s="8" t="n">
        <v>0.003</v>
      </c>
      <c r="E76" s="9" t="n">
        <v>1</v>
      </c>
      <c r="F76" s="7" t="n">
        <v>35</v>
      </c>
      <c r="G76" s="7" t="n">
        <v>8</v>
      </c>
      <c r="H76" s="7" t="n">
        <v>36</v>
      </c>
      <c r="I76" s="7" t="n">
        <v>14</v>
      </c>
      <c r="J76" s="7" t="n">
        <v>10</v>
      </c>
      <c r="K76" s="10" t="n">
        <f aca="false">IF(F76=0,"–",J76/F76*100)</f>
        <v>28.5714285714286</v>
      </c>
    </row>
    <row r="77" customFormat="false" ht="15" hidden="false" customHeight="false" outlineLevel="0" collapsed="false">
      <c r="A77" s="6" t="s">
        <v>93</v>
      </c>
      <c r="B77" s="7" t="n">
        <v>11</v>
      </c>
      <c r="C77" s="8" t="n">
        <v>-0.0082</v>
      </c>
      <c r="D77" s="8" t="n">
        <v>0.45</v>
      </c>
      <c r="E77" s="9" t="n">
        <v>0</v>
      </c>
      <c r="F77" s="7" t="n">
        <v>74</v>
      </c>
      <c r="G77" s="7" t="n">
        <v>2</v>
      </c>
      <c r="H77" s="7" t="n">
        <v>74</v>
      </c>
      <c r="I77" s="7" t="n">
        <v>60</v>
      </c>
      <c r="J77" s="7" t="n">
        <v>6</v>
      </c>
      <c r="K77" s="10" t="n">
        <f aca="false">IF(F77=0,"–",J77/F77*100)</f>
        <v>8.10810810810811</v>
      </c>
    </row>
    <row r="78" customFormat="false" ht="15" hidden="false" customHeight="false" outlineLevel="0" collapsed="false">
      <c r="A78" s="6" t="s">
        <v>94</v>
      </c>
      <c r="B78" s="7" t="n">
        <v>26</v>
      </c>
      <c r="C78" s="8" t="n">
        <v>0.2364</v>
      </c>
      <c r="D78" s="8" t="n">
        <v>0.001</v>
      </c>
      <c r="E78" s="9" t="n">
        <v>1</v>
      </c>
      <c r="F78" s="7" t="n">
        <v>59</v>
      </c>
      <c r="G78" s="7" t="n">
        <v>9</v>
      </c>
      <c r="H78" s="7" t="n">
        <v>59</v>
      </c>
      <c r="I78" s="7" t="n">
        <v>45</v>
      </c>
      <c r="J78" s="7" t="n">
        <v>15</v>
      </c>
      <c r="K78" s="10" t="n">
        <f aca="false">IF(F78=0,"–",J78/F78*100)</f>
        <v>25.4237288135593</v>
      </c>
    </row>
    <row r="79" customFormat="false" ht="15" hidden="false" customHeight="false" outlineLevel="0" collapsed="false">
      <c r="A79" s="6" t="s">
        <v>95</v>
      </c>
      <c r="B79" s="7" t="n">
        <v>13</v>
      </c>
      <c r="C79" s="8" t="n">
        <v>0.009</v>
      </c>
      <c r="D79" s="8" t="n">
        <v>0.328</v>
      </c>
      <c r="E79" s="9" t="n">
        <v>0</v>
      </c>
      <c r="F79" s="7" t="n">
        <v>63</v>
      </c>
      <c r="G79" s="7" t="n">
        <v>0</v>
      </c>
      <c r="H79" s="7" t="n">
        <v>65</v>
      </c>
      <c r="I79" s="7" t="n">
        <v>49</v>
      </c>
      <c r="J79" s="7" t="n">
        <v>3</v>
      </c>
      <c r="K79" s="10" t="n">
        <f aca="false">IF(F79=0,"–",J79/F79*100)</f>
        <v>4.76190476190476</v>
      </c>
    </row>
    <row r="80" customFormat="false" ht="15" hidden="false" customHeight="false" outlineLevel="0" collapsed="false">
      <c r="A80" s="6" t="s">
        <v>96</v>
      </c>
      <c r="B80" s="7" t="n">
        <v>17</v>
      </c>
      <c r="C80" s="8" t="n">
        <v>-0.0127</v>
      </c>
      <c r="D80" s="8" t="n">
        <v>0.466</v>
      </c>
      <c r="E80" s="9" t="n">
        <v>0</v>
      </c>
      <c r="F80" s="7" t="n">
        <v>18</v>
      </c>
      <c r="G80" s="7" t="n">
        <v>1</v>
      </c>
      <c r="H80" s="7" t="n">
        <v>21</v>
      </c>
      <c r="I80" s="7" t="n">
        <v>7</v>
      </c>
      <c r="J80" s="7" t="n">
        <v>4</v>
      </c>
      <c r="K80" s="10" t="n">
        <f aca="false">IF(F80=0,"–",J80/F80*100)</f>
        <v>22.2222222222222</v>
      </c>
    </row>
    <row r="81" customFormat="false" ht="15" hidden="false" customHeight="false" outlineLevel="0" collapsed="false">
      <c r="A81" s="6" t="s">
        <v>97</v>
      </c>
      <c r="B81" s="7" t="n">
        <v>15</v>
      </c>
      <c r="C81" s="8" t="n">
        <v>0.0024</v>
      </c>
      <c r="D81" s="8" t="n">
        <v>0.38</v>
      </c>
      <c r="E81" s="9" t="n">
        <v>0</v>
      </c>
      <c r="F81" s="7" t="n">
        <v>112</v>
      </c>
      <c r="G81" s="7" t="n">
        <v>1</v>
      </c>
      <c r="H81" s="7" t="n">
        <v>112</v>
      </c>
      <c r="I81" s="7" t="n">
        <v>108</v>
      </c>
      <c r="J81" s="7" t="n">
        <v>24</v>
      </c>
      <c r="K81" s="10" t="n">
        <f aca="false">IF(F81=0,"–",J81/F81*100)</f>
        <v>21.4285714285714</v>
      </c>
    </row>
    <row r="82" customFormat="false" ht="15" hidden="false" customHeight="false" outlineLevel="0" collapsed="false">
      <c r="A82" s="6" t="s">
        <v>98</v>
      </c>
      <c r="B82" s="7" t="n">
        <v>26</v>
      </c>
      <c r="C82" s="8" t="n">
        <v>-0.0241</v>
      </c>
      <c r="D82" s="8" t="n">
        <v>0.344</v>
      </c>
      <c r="E82" s="9" t="n">
        <v>0</v>
      </c>
      <c r="F82" s="7" t="n">
        <v>27</v>
      </c>
      <c r="G82" s="7" t="n">
        <v>4</v>
      </c>
      <c r="H82" s="7" t="n">
        <v>29</v>
      </c>
      <c r="I82" s="7" t="n">
        <v>14</v>
      </c>
      <c r="J82" s="7" t="n">
        <v>6</v>
      </c>
      <c r="K82" s="10" t="n">
        <f aca="false">IF(F82=0,"–",J82/F82*100)</f>
        <v>22.2222222222222</v>
      </c>
    </row>
    <row r="83" customFormat="false" ht="15" hidden="false" customHeight="false" outlineLevel="0" collapsed="false">
      <c r="A83" s="6" t="s">
        <v>99</v>
      </c>
      <c r="B83" s="7" t="n">
        <v>15</v>
      </c>
      <c r="C83" s="8" t="n">
        <v>0.0228</v>
      </c>
      <c r="D83" s="8" t="n">
        <v>0.256</v>
      </c>
      <c r="E83" s="9" t="n">
        <v>0</v>
      </c>
      <c r="F83" s="7" t="n">
        <v>79</v>
      </c>
      <c r="G83" s="7" t="n">
        <v>2</v>
      </c>
      <c r="H83" s="7" t="n">
        <v>80</v>
      </c>
      <c r="I83" s="7" t="n">
        <v>69</v>
      </c>
      <c r="J83" s="7" t="n">
        <v>3</v>
      </c>
      <c r="K83" s="10" t="n">
        <f aca="false">IF(F83=0,"–",J83/F83*100)</f>
        <v>3.79746835443038</v>
      </c>
    </row>
    <row r="84" customFormat="false" ht="15" hidden="false" customHeight="false" outlineLevel="0" collapsed="false">
      <c r="A84" s="6" t="s">
        <v>100</v>
      </c>
      <c r="B84" s="7" t="n">
        <v>11</v>
      </c>
      <c r="C84" s="8" t="n">
        <v>-0.0011</v>
      </c>
      <c r="D84" s="8" t="n">
        <v>0.408</v>
      </c>
      <c r="E84" s="9" t="n">
        <v>0</v>
      </c>
      <c r="F84" s="7" t="n">
        <v>23</v>
      </c>
      <c r="G84" s="7" t="n">
        <v>1</v>
      </c>
      <c r="H84" s="7" t="n">
        <v>23</v>
      </c>
      <c r="I84" s="7" t="n">
        <v>4</v>
      </c>
      <c r="J84" s="7" t="n">
        <v>3</v>
      </c>
      <c r="K84" s="10" t="n">
        <f aca="false">IF(F84=0,"–",J84/F84*100)</f>
        <v>13.0434782608696</v>
      </c>
    </row>
    <row r="85" customFormat="false" ht="15" hidden="false" customHeight="false" outlineLevel="0" collapsed="false">
      <c r="A85" s="6" t="s">
        <v>101</v>
      </c>
      <c r="B85" s="7" t="n">
        <v>36</v>
      </c>
      <c r="C85" s="8" t="n">
        <v>0.165</v>
      </c>
      <c r="D85" s="8" t="n">
        <v>0.001</v>
      </c>
      <c r="E85" s="9" t="n">
        <v>1</v>
      </c>
      <c r="F85" s="7" t="n">
        <v>37</v>
      </c>
      <c r="G85" s="7" t="n">
        <v>7</v>
      </c>
      <c r="H85" s="7" t="n">
        <v>37</v>
      </c>
      <c r="I85" s="7" t="n">
        <v>21</v>
      </c>
      <c r="J85" s="7" t="n">
        <v>6</v>
      </c>
      <c r="K85" s="10" t="n">
        <f aca="false">IF(F85=0,"–",J85/F85*100)</f>
        <v>16.2162162162162</v>
      </c>
    </row>
    <row r="86" customFormat="false" ht="15" hidden="false" customHeight="false" outlineLevel="0" collapsed="false">
      <c r="A86" s="6" t="s">
        <v>102</v>
      </c>
      <c r="B86" s="7" t="n">
        <v>126</v>
      </c>
      <c r="C86" s="8" t="n">
        <v>0.0804</v>
      </c>
      <c r="D86" s="8" t="n">
        <v>0.034</v>
      </c>
      <c r="E86" s="9" t="n">
        <v>1</v>
      </c>
      <c r="F86" s="7" t="n">
        <v>38</v>
      </c>
      <c r="G86" s="7" t="n">
        <v>15</v>
      </c>
      <c r="H86" s="7" t="n">
        <v>38</v>
      </c>
      <c r="I86" s="7" t="n">
        <v>6</v>
      </c>
      <c r="J86" s="7" t="n">
        <v>12</v>
      </c>
      <c r="K86" s="10" t="n">
        <f aca="false">IF(F86=0,"–",J86/F86*100)</f>
        <v>31.5789473684211</v>
      </c>
    </row>
    <row r="87" customFormat="false" ht="15" hidden="false" customHeight="false" outlineLevel="0" collapsed="false">
      <c r="A87" s="6" t="s">
        <v>103</v>
      </c>
      <c r="B87" s="7" t="n">
        <v>19</v>
      </c>
      <c r="C87" s="8" t="n">
        <v>0.0387</v>
      </c>
      <c r="D87" s="8" t="n">
        <v>0.142</v>
      </c>
      <c r="E87" s="9" t="n">
        <v>0</v>
      </c>
      <c r="F87" s="7" t="n">
        <v>26</v>
      </c>
      <c r="G87" s="7" t="n">
        <v>4</v>
      </c>
      <c r="H87" s="7" t="n">
        <v>26</v>
      </c>
      <c r="I87" s="7" t="n">
        <v>10</v>
      </c>
      <c r="J87" s="7" t="n">
        <v>5</v>
      </c>
      <c r="K87" s="10" t="n">
        <f aca="false">IF(F87=0,"–",J87/F87*100)</f>
        <v>19.2307692307692</v>
      </c>
    </row>
    <row r="88" customFormat="false" ht="15" hidden="false" customHeight="false" outlineLevel="0" collapsed="false">
      <c r="A88" s="6" t="s">
        <v>104</v>
      </c>
      <c r="B88" s="7" t="n">
        <v>222</v>
      </c>
      <c r="C88" s="8" t="n">
        <v>0.2474</v>
      </c>
      <c r="D88" s="8" t="n">
        <v>0.001</v>
      </c>
      <c r="E88" s="9" t="n">
        <v>1</v>
      </c>
      <c r="F88" s="7" t="n">
        <v>41</v>
      </c>
      <c r="G88" s="7" t="n">
        <v>20</v>
      </c>
      <c r="H88" s="7" t="n">
        <v>40</v>
      </c>
      <c r="I88" s="7" t="n">
        <v>8</v>
      </c>
      <c r="J88" s="7" t="n">
        <v>15</v>
      </c>
      <c r="K88" s="10" t="n">
        <f aca="false">IF(F88=0,"–",J88/F88*100)</f>
        <v>36.5853658536585</v>
      </c>
    </row>
    <row r="89" customFormat="false" ht="15" hidden="false" customHeight="false" outlineLevel="0" collapsed="false">
      <c r="A89" s="6" t="s">
        <v>105</v>
      </c>
      <c r="B89" s="7" t="n">
        <v>22</v>
      </c>
      <c r="C89" s="8" t="n">
        <v>0.1662</v>
      </c>
      <c r="D89" s="8" t="n">
        <v>0.005</v>
      </c>
      <c r="E89" s="9" t="n">
        <v>1</v>
      </c>
      <c r="F89" s="7" t="n">
        <v>53</v>
      </c>
      <c r="G89" s="7" t="n">
        <v>4</v>
      </c>
      <c r="H89" s="7" t="n">
        <v>54</v>
      </c>
      <c r="I89" s="7" t="n">
        <v>43</v>
      </c>
      <c r="J89" s="7" t="n">
        <v>3</v>
      </c>
      <c r="K89" s="10" t="n">
        <f aca="false">IF(F89=0,"–",J89/F89*100)</f>
        <v>5.66037735849057</v>
      </c>
    </row>
    <row r="90" customFormat="false" ht="15" hidden="false" customHeight="false" outlineLevel="0" collapsed="false">
      <c r="A90" s="6" t="s">
        <v>106</v>
      </c>
      <c r="B90" s="7" t="n">
        <v>22</v>
      </c>
      <c r="C90" s="8" t="n">
        <v>-0.0907</v>
      </c>
      <c r="D90" s="8" t="n">
        <v>0.001</v>
      </c>
      <c r="E90" s="9" t="n">
        <v>1</v>
      </c>
      <c r="F90" s="7" t="n">
        <v>20</v>
      </c>
      <c r="G90" s="7" t="n">
        <v>0</v>
      </c>
      <c r="H90" s="7" t="n">
        <v>18</v>
      </c>
      <c r="I90" s="7" t="n">
        <v>9</v>
      </c>
      <c r="J90" s="7" t="n">
        <v>1</v>
      </c>
      <c r="K90" s="10" t="n">
        <f aca="false">IF(F90=0,"–",J90/F90*100)</f>
        <v>5</v>
      </c>
    </row>
    <row r="91" customFormat="false" ht="15" hidden="false" customHeight="false" outlineLevel="0" collapsed="false">
      <c r="A91" s="6" t="s">
        <v>107</v>
      </c>
      <c r="B91" s="7" t="n">
        <v>32</v>
      </c>
      <c r="C91" s="8" t="n">
        <v>0.0619</v>
      </c>
      <c r="D91" s="8" t="n">
        <v>0.076</v>
      </c>
      <c r="E91" s="9" t="n">
        <v>0</v>
      </c>
      <c r="F91" s="7" t="n">
        <v>21</v>
      </c>
      <c r="G91" s="7" t="n">
        <v>6</v>
      </c>
      <c r="H91" s="7" t="n">
        <v>23</v>
      </c>
      <c r="I91" s="7" t="n">
        <v>4</v>
      </c>
      <c r="J91" s="7" t="n">
        <v>4</v>
      </c>
      <c r="K91" s="10" t="n">
        <f aca="false">IF(F91=0,"–",J91/F91*100)</f>
        <v>19.047619047619</v>
      </c>
    </row>
    <row r="92" customFormat="false" ht="15" hidden="false" customHeight="false" outlineLevel="0" collapsed="false">
      <c r="A92" s="6" t="s">
        <v>108</v>
      </c>
      <c r="B92" s="7" t="n">
        <v>86</v>
      </c>
      <c r="C92" s="8" t="n">
        <v>0.2373</v>
      </c>
      <c r="D92" s="8" t="n">
        <v>0.001</v>
      </c>
      <c r="E92" s="9" t="n">
        <v>1</v>
      </c>
      <c r="F92" s="7" t="n">
        <v>49</v>
      </c>
      <c r="G92" s="7" t="n">
        <v>24</v>
      </c>
      <c r="H92" s="7" t="n">
        <v>44</v>
      </c>
      <c r="I92" s="7" t="n">
        <v>4</v>
      </c>
      <c r="J92" s="7" t="n">
        <v>12</v>
      </c>
      <c r="K92" s="10" t="n">
        <f aca="false">IF(F92=0,"–",J92/F92*100)</f>
        <v>24.4897959183673</v>
      </c>
    </row>
    <row r="93" customFormat="false" ht="15" hidden="false" customHeight="false" outlineLevel="0" collapsed="false">
      <c r="A93" s="6" t="s">
        <v>109</v>
      </c>
      <c r="B93" s="7" t="n">
        <v>65</v>
      </c>
      <c r="C93" s="8" t="n">
        <v>0.0329</v>
      </c>
      <c r="D93" s="8" t="n">
        <v>0.18</v>
      </c>
      <c r="E93" s="9" t="n">
        <v>0</v>
      </c>
      <c r="F93" s="7" t="n">
        <v>24</v>
      </c>
      <c r="G93" s="7" t="n">
        <v>4</v>
      </c>
      <c r="H93" s="7" t="n">
        <v>26</v>
      </c>
      <c r="I93" s="7" t="n">
        <v>12</v>
      </c>
      <c r="J93" s="7" t="n">
        <v>5</v>
      </c>
      <c r="K93" s="10" t="n">
        <f aca="false">IF(F93=0,"–",J93/F93*100)</f>
        <v>20.8333333333333</v>
      </c>
    </row>
    <row r="94" customFormat="false" ht="15" hidden="false" customHeight="false" outlineLevel="0" collapsed="false">
      <c r="A94" s="6" t="s">
        <v>110</v>
      </c>
      <c r="B94" s="7" t="n">
        <v>39</v>
      </c>
      <c r="C94" s="8" t="n">
        <v>-0.0293</v>
      </c>
      <c r="D94" s="8" t="n">
        <v>0.286</v>
      </c>
      <c r="E94" s="9" t="n">
        <v>0</v>
      </c>
      <c r="F94" s="7" t="n">
        <v>42</v>
      </c>
      <c r="G94" s="7" t="n">
        <v>2</v>
      </c>
      <c r="H94" s="7" t="n">
        <v>41</v>
      </c>
      <c r="I94" s="7" t="n">
        <v>24</v>
      </c>
      <c r="J94" s="7" t="n">
        <v>3</v>
      </c>
      <c r="K94" s="10" t="n">
        <f aca="false">IF(F94=0,"–",J94/F94*100)</f>
        <v>7.14285714285714</v>
      </c>
    </row>
    <row r="95" customFormat="false" ht="15" hidden="false" customHeight="false" outlineLevel="0" collapsed="false">
      <c r="A95" s="6" t="s">
        <v>111</v>
      </c>
      <c r="B95" s="7" t="n">
        <v>17</v>
      </c>
      <c r="C95" s="8" t="n">
        <v>-0.0417</v>
      </c>
      <c r="D95" s="8" t="n">
        <v>0.159</v>
      </c>
      <c r="E95" s="9" t="n">
        <v>0</v>
      </c>
      <c r="F95" s="7" t="n">
        <v>28</v>
      </c>
      <c r="G95" s="7" t="n">
        <v>1</v>
      </c>
      <c r="H95" s="7" t="n">
        <v>28</v>
      </c>
      <c r="I95" s="7" t="n">
        <v>13</v>
      </c>
      <c r="J95" s="7" t="n">
        <v>6</v>
      </c>
      <c r="K95" s="10" t="n">
        <f aca="false">IF(F95=0,"–",J95/F95*100)</f>
        <v>21.4285714285714</v>
      </c>
    </row>
    <row r="96" customFormat="false" ht="15" hidden="false" customHeight="false" outlineLevel="0" collapsed="false">
      <c r="A96" s="6" t="s">
        <v>112</v>
      </c>
      <c r="B96" s="7" t="n">
        <v>35</v>
      </c>
      <c r="C96" s="8" t="n">
        <v>0.0438</v>
      </c>
      <c r="D96" s="8" t="n">
        <v>0.112</v>
      </c>
      <c r="E96" s="9" t="n">
        <v>0</v>
      </c>
      <c r="F96" s="7" t="n">
        <v>20</v>
      </c>
      <c r="G96" s="7" t="n">
        <v>4</v>
      </c>
      <c r="H96" s="7" t="n">
        <v>17</v>
      </c>
      <c r="I96" s="7" t="n">
        <v>5</v>
      </c>
      <c r="J96" s="7" t="n">
        <v>5</v>
      </c>
      <c r="K96" s="10" t="n">
        <f aca="false">IF(F96=0,"–",J96/F96*100)</f>
        <v>25</v>
      </c>
    </row>
    <row r="97" customFormat="false" ht="15" hidden="false" customHeight="false" outlineLevel="0" collapsed="false">
      <c r="A97" s="6" t="s">
        <v>113</v>
      </c>
      <c r="B97" s="7" t="n">
        <v>162</v>
      </c>
      <c r="C97" s="8" t="n">
        <v>0.1438</v>
      </c>
      <c r="D97" s="8" t="n">
        <v>0.002</v>
      </c>
      <c r="E97" s="9" t="n">
        <v>1</v>
      </c>
      <c r="F97" s="7" t="n">
        <v>43</v>
      </c>
      <c r="G97" s="7" t="n">
        <v>24</v>
      </c>
      <c r="H97" s="7" t="n">
        <v>42</v>
      </c>
      <c r="I97" s="7" t="n">
        <v>5</v>
      </c>
      <c r="J97" s="7" t="n">
        <v>15</v>
      </c>
      <c r="K97" s="10" t="n">
        <f aca="false">IF(F97=0,"–",J97/F97*100)</f>
        <v>34.8837209302326</v>
      </c>
    </row>
    <row r="98" customFormat="false" ht="15" hidden="false" customHeight="false" outlineLevel="0" collapsed="false">
      <c r="A98" s="6" t="s">
        <v>114</v>
      </c>
      <c r="B98" s="7" t="n">
        <v>10</v>
      </c>
      <c r="C98" s="8" t="n">
        <v>0.0805</v>
      </c>
      <c r="D98" s="8" t="n">
        <v>0.036</v>
      </c>
      <c r="E98" s="9" t="n">
        <v>1</v>
      </c>
      <c r="F98" s="7" t="n">
        <v>70</v>
      </c>
      <c r="G98" s="7" t="n">
        <v>1</v>
      </c>
      <c r="H98" s="7" t="n">
        <v>70</v>
      </c>
      <c r="I98" s="7" t="n">
        <v>59</v>
      </c>
      <c r="J98" s="7" t="n">
        <v>5</v>
      </c>
      <c r="K98" s="10" t="n">
        <f aca="false">IF(F98=0,"–",J98/F98*100)</f>
        <v>7.14285714285714</v>
      </c>
    </row>
    <row r="99" customFormat="false" ht="15" hidden="false" customHeight="false" outlineLevel="0" collapsed="false">
      <c r="A99" s="6" t="s">
        <v>115</v>
      </c>
      <c r="B99" s="7" t="n">
        <v>112</v>
      </c>
      <c r="C99" s="8" t="n">
        <v>0.7202</v>
      </c>
      <c r="D99" s="8" t="n">
        <v>0.001</v>
      </c>
      <c r="E99" s="9" t="n">
        <v>1</v>
      </c>
      <c r="F99" s="7" t="n">
        <v>113</v>
      </c>
      <c r="G99" s="7" t="n">
        <v>61</v>
      </c>
      <c r="H99" s="7" t="n">
        <v>113</v>
      </c>
      <c r="I99" s="7" t="n">
        <v>81</v>
      </c>
      <c r="J99" s="7" t="n">
        <v>98</v>
      </c>
      <c r="K99" s="10" t="n">
        <f aca="false">IF(F99=0,"–",J99/F99*100)</f>
        <v>86.7256637168142</v>
      </c>
    </row>
    <row r="100" customFormat="false" ht="15" hidden="false" customHeight="false" outlineLevel="0" collapsed="false">
      <c r="A100" s="6" t="s">
        <v>116</v>
      </c>
      <c r="B100" s="7" t="n">
        <v>47</v>
      </c>
      <c r="C100" s="8" t="n">
        <v>0.1506</v>
      </c>
      <c r="D100" s="8" t="n">
        <v>0.002</v>
      </c>
      <c r="E100" s="9" t="n">
        <v>1</v>
      </c>
      <c r="F100" s="7" t="n">
        <v>30</v>
      </c>
      <c r="G100" s="7" t="n">
        <v>12</v>
      </c>
      <c r="H100" s="7" t="n">
        <v>31</v>
      </c>
      <c r="I100" s="7" t="n">
        <v>10</v>
      </c>
      <c r="J100" s="7" t="n">
        <v>10</v>
      </c>
      <c r="K100" s="10" t="n">
        <f aca="false">IF(F100=0,"–",J100/F100*100)</f>
        <v>33.3333333333333</v>
      </c>
    </row>
    <row r="101" customFormat="false" ht="15" hidden="false" customHeight="false" outlineLevel="0" collapsed="false">
      <c r="A101" s="6" t="s">
        <v>117</v>
      </c>
      <c r="B101" s="7" t="n">
        <v>173</v>
      </c>
      <c r="C101" s="8" t="n">
        <v>0.1635</v>
      </c>
      <c r="D101" s="8" t="n">
        <v>0.001</v>
      </c>
      <c r="E101" s="9" t="n">
        <v>1</v>
      </c>
      <c r="F101" s="7" t="n">
        <v>49</v>
      </c>
      <c r="G101" s="7" t="n">
        <v>23</v>
      </c>
      <c r="H101" s="7" t="n">
        <v>47</v>
      </c>
      <c r="I101" s="7" t="n">
        <v>5</v>
      </c>
      <c r="J101" s="7" t="n">
        <v>19</v>
      </c>
      <c r="K101" s="10" t="n">
        <f aca="false">IF(F101=0,"–",J101/F101*100)</f>
        <v>38.7755102040816</v>
      </c>
    </row>
    <row r="102" customFormat="false" ht="15" hidden="false" customHeight="false" outlineLevel="0" collapsed="false">
      <c r="A102" s="6" t="s">
        <v>118</v>
      </c>
      <c r="B102" s="7" t="n">
        <v>13</v>
      </c>
      <c r="C102" s="8" t="n">
        <v>0.1257</v>
      </c>
      <c r="D102" s="8" t="n">
        <v>0.008</v>
      </c>
      <c r="E102" s="9" t="n">
        <v>1</v>
      </c>
      <c r="F102" s="7" t="n">
        <v>27</v>
      </c>
      <c r="G102" s="7" t="n">
        <v>4</v>
      </c>
      <c r="H102" s="7" t="n">
        <v>27</v>
      </c>
      <c r="I102" s="7" t="n">
        <v>5</v>
      </c>
      <c r="J102" s="7" t="n">
        <v>7</v>
      </c>
      <c r="K102" s="10" t="n">
        <f aca="false">IF(F102=0,"–",J102/F102*100)</f>
        <v>25.9259259259259</v>
      </c>
    </row>
    <row r="103" customFormat="false" ht="15" hidden="false" customHeight="false" outlineLevel="0" collapsed="false">
      <c r="A103" s="6" t="s">
        <v>119</v>
      </c>
      <c r="B103" s="7" t="n">
        <v>29</v>
      </c>
      <c r="C103" s="8" t="n">
        <v>0.2052</v>
      </c>
      <c r="D103" s="8" t="n">
        <v>0.001</v>
      </c>
      <c r="E103" s="9" t="n">
        <v>1</v>
      </c>
      <c r="F103" s="7" t="n">
        <v>34</v>
      </c>
      <c r="G103" s="7" t="n">
        <v>10</v>
      </c>
      <c r="H103" s="7" t="n">
        <v>33</v>
      </c>
      <c r="I103" s="7" t="n">
        <v>16</v>
      </c>
      <c r="J103" s="7" t="n">
        <v>18</v>
      </c>
      <c r="K103" s="10" t="n">
        <f aca="false">IF(F103=0,"–",J103/F103*100)</f>
        <v>52.9411764705882</v>
      </c>
    </row>
    <row r="104" customFormat="false" ht="15" hidden="false" customHeight="false" outlineLevel="0" collapsed="false">
      <c r="A104" s="6" t="s">
        <v>120</v>
      </c>
      <c r="B104" s="7" t="n">
        <v>11</v>
      </c>
      <c r="C104" s="8" t="n">
        <v>-0.0452</v>
      </c>
      <c r="D104" s="8" t="n">
        <v>0.125</v>
      </c>
      <c r="E104" s="9" t="n">
        <v>0</v>
      </c>
      <c r="F104" s="7" t="n">
        <v>76</v>
      </c>
      <c r="G104" s="7" t="n">
        <v>0</v>
      </c>
      <c r="H104" s="7" t="n">
        <v>79</v>
      </c>
      <c r="I104" s="7" t="n">
        <v>71</v>
      </c>
      <c r="J104" s="7" t="n">
        <v>5</v>
      </c>
      <c r="K104" s="10" t="n">
        <f aca="false">IF(F104=0,"–",J104/F104*100)</f>
        <v>6.57894736842105</v>
      </c>
    </row>
    <row r="105" customFormat="false" ht="15" hidden="false" customHeight="false" outlineLevel="0" collapsed="false">
      <c r="A105" s="6" t="s">
        <v>121</v>
      </c>
      <c r="B105" s="7" t="n">
        <v>199</v>
      </c>
      <c r="C105" s="8" t="n">
        <v>0.1989</v>
      </c>
      <c r="D105" s="8" t="n">
        <v>0.001</v>
      </c>
      <c r="E105" s="9" t="n">
        <v>1</v>
      </c>
      <c r="F105" s="7" t="n">
        <v>72</v>
      </c>
      <c r="G105" s="7" t="n">
        <v>46</v>
      </c>
      <c r="H105" s="7" t="n">
        <v>74</v>
      </c>
      <c r="I105" s="7" t="n">
        <v>27</v>
      </c>
      <c r="J105" s="7" t="n">
        <v>43</v>
      </c>
      <c r="K105" s="10" t="n">
        <f aca="false">IF(F105=0,"–",J105/F105*100)</f>
        <v>59.7222222222222</v>
      </c>
    </row>
    <row r="106" customFormat="false" ht="15" hidden="false" customHeight="false" outlineLevel="0" collapsed="false">
      <c r="A106" s="6" t="s">
        <v>122</v>
      </c>
      <c r="B106" s="7" t="n">
        <v>202</v>
      </c>
      <c r="C106" s="8" t="n">
        <v>0.1193</v>
      </c>
      <c r="D106" s="8" t="n">
        <v>0.009</v>
      </c>
      <c r="E106" s="9" t="n">
        <v>1</v>
      </c>
      <c r="F106" s="7" t="n">
        <v>34</v>
      </c>
      <c r="G106" s="7" t="n">
        <v>11</v>
      </c>
      <c r="H106" s="7" t="n">
        <v>35</v>
      </c>
      <c r="I106" s="7" t="n">
        <v>2</v>
      </c>
      <c r="J106" s="7" t="n">
        <v>8</v>
      </c>
      <c r="K106" s="10" t="n">
        <f aca="false">IF(F106=0,"–",J106/F106*100)</f>
        <v>23.5294117647059</v>
      </c>
    </row>
    <row r="107" customFormat="false" ht="15" hidden="false" customHeight="false" outlineLevel="0" collapsed="false">
      <c r="A107" s="6" t="s">
        <v>123</v>
      </c>
      <c r="B107" s="7" t="n">
        <v>26</v>
      </c>
      <c r="C107" s="8" t="n">
        <v>0.0928</v>
      </c>
      <c r="D107" s="8" t="n">
        <v>0.017</v>
      </c>
      <c r="E107" s="9" t="n">
        <v>1</v>
      </c>
      <c r="F107" s="7" t="n">
        <v>27</v>
      </c>
      <c r="G107" s="7" t="n">
        <v>5</v>
      </c>
      <c r="H107" s="7" t="n">
        <v>26</v>
      </c>
      <c r="I107" s="7" t="n">
        <v>12</v>
      </c>
      <c r="J107" s="7" t="n">
        <v>5</v>
      </c>
      <c r="K107" s="10" t="n">
        <f aca="false">IF(F107=0,"–",J107/F107*100)</f>
        <v>18.5185185185185</v>
      </c>
    </row>
    <row r="108" customFormat="false" ht="15" hidden="false" customHeight="false" outlineLevel="0" collapsed="false">
      <c r="A108" s="6" t="s">
        <v>124</v>
      </c>
      <c r="B108" s="7" t="n">
        <v>10</v>
      </c>
      <c r="C108" s="8" t="n">
        <v>-0.0408</v>
      </c>
      <c r="D108" s="8" t="n">
        <v>0.134</v>
      </c>
      <c r="E108" s="9" t="n">
        <v>0</v>
      </c>
      <c r="F108" s="7" t="n">
        <v>193</v>
      </c>
      <c r="G108" s="7" t="n">
        <v>0</v>
      </c>
      <c r="H108" s="7" t="n">
        <v>193</v>
      </c>
      <c r="I108" s="7" t="n">
        <v>191</v>
      </c>
      <c r="J108" s="7" t="n">
        <v>40</v>
      </c>
      <c r="K108" s="10" t="n">
        <f aca="false">IF(F108=0,"–",J108/F108*100)</f>
        <v>20.7253886010363</v>
      </c>
    </row>
    <row r="109" customFormat="false" ht="15" hidden="false" customHeight="false" outlineLevel="0" collapsed="false">
      <c r="A109" s="6" t="s">
        <v>125</v>
      </c>
      <c r="B109" s="7" t="n">
        <v>37</v>
      </c>
      <c r="C109" s="8" t="n">
        <v>0.11</v>
      </c>
      <c r="D109" s="8" t="n">
        <v>0.01</v>
      </c>
      <c r="E109" s="9" t="n">
        <v>1</v>
      </c>
      <c r="F109" s="7" t="n">
        <v>65</v>
      </c>
      <c r="G109" s="7" t="n">
        <v>8</v>
      </c>
      <c r="H109" s="7" t="n">
        <v>65</v>
      </c>
      <c r="I109" s="7" t="n">
        <v>56</v>
      </c>
      <c r="J109" s="7" t="n">
        <v>6</v>
      </c>
      <c r="K109" s="10" t="n">
        <f aca="false">IF(F109=0,"–",J109/F109*100)</f>
        <v>9.23076923076923</v>
      </c>
    </row>
    <row r="110" customFormat="false" ht="15" hidden="false" customHeight="false" outlineLevel="0" collapsed="false">
      <c r="A110" s="6" t="s">
        <v>126</v>
      </c>
      <c r="B110" s="7" t="n">
        <v>18</v>
      </c>
      <c r="C110" s="8" t="n">
        <v>-0.0573</v>
      </c>
      <c r="D110" s="8" t="n">
        <v>0.026</v>
      </c>
      <c r="E110" s="9" t="n">
        <v>1</v>
      </c>
      <c r="F110" s="7" t="n">
        <v>30</v>
      </c>
      <c r="G110" s="7" t="n">
        <v>0</v>
      </c>
      <c r="H110" s="7" t="n">
        <v>30</v>
      </c>
      <c r="I110" s="7" t="n">
        <v>10</v>
      </c>
      <c r="J110" s="7" t="n">
        <v>3</v>
      </c>
      <c r="K110" s="10" t="n">
        <f aca="false">IF(F110=0,"–",J110/F110*100)</f>
        <v>10</v>
      </c>
    </row>
    <row r="111" customFormat="false" ht="15" hidden="false" customHeight="false" outlineLevel="0" collapsed="false">
      <c r="A111" s="6" t="s">
        <v>127</v>
      </c>
      <c r="B111" s="7" t="n">
        <v>14</v>
      </c>
      <c r="C111" s="8" t="n">
        <v>0.0828</v>
      </c>
      <c r="D111" s="8" t="n">
        <v>0.032</v>
      </c>
      <c r="E111" s="9" t="n">
        <v>1</v>
      </c>
      <c r="F111" s="7" t="n">
        <v>28</v>
      </c>
      <c r="G111" s="7" t="n">
        <v>2</v>
      </c>
      <c r="H111" s="7" t="n">
        <v>28</v>
      </c>
      <c r="I111" s="7" t="n">
        <v>12</v>
      </c>
      <c r="J111" s="7" t="n">
        <v>3</v>
      </c>
      <c r="K111" s="10" t="n">
        <f aca="false">IF(F111=0,"–",J111/F111*100)</f>
        <v>10.7142857142857</v>
      </c>
    </row>
    <row r="112" customFormat="false" ht="15" hidden="false" customHeight="false" outlineLevel="0" collapsed="false">
      <c r="A112" s="6" t="s">
        <v>128</v>
      </c>
      <c r="B112" s="7" t="n">
        <v>47</v>
      </c>
      <c r="C112" s="8" t="n">
        <v>-0.0451</v>
      </c>
      <c r="D112" s="8" t="n">
        <v>0.177</v>
      </c>
      <c r="E112" s="9" t="n">
        <v>0</v>
      </c>
      <c r="F112" s="7" t="n">
        <v>27</v>
      </c>
      <c r="G112" s="7" t="n">
        <v>5</v>
      </c>
      <c r="H112" s="7" t="n">
        <v>28</v>
      </c>
      <c r="I112" s="7" t="n">
        <v>6</v>
      </c>
      <c r="J112" s="7" t="n">
        <v>1</v>
      </c>
      <c r="K112" s="10" t="n">
        <f aca="false">IF(F112=0,"–",J112/F112*100)</f>
        <v>3.7037037037037</v>
      </c>
    </row>
    <row r="113" customFormat="false" ht="15" hidden="false" customHeight="false" outlineLevel="0" collapsed="false">
      <c r="A113" s="6" t="s">
        <v>129</v>
      </c>
      <c r="B113" s="7" t="n">
        <v>17</v>
      </c>
      <c r="C113" s="8" t="n">
        <v>-0.0131</v>
      </c>
      <c r="D113" s="8" t="n">
        <v>0.48</v>
      </c>
      <c r="E113" s="9" t="n">
        <v>0</v>
      </c>
      <c r="F113" s="7" t="n">
        <v>129</v>
      </c>
      <c r="G113" s="7" t="n">
        <v>1</v>
      </c>
      <c r="H113" s="7" t="n">
        <v>129</v>
      </c>
      <c r="I113" s="7" t="n">
        <v>125</v>
      </c>
      <c r="J113" s="7" t="n">
        <v>25</v>
      </c>
      <c r="K113" s="10" t="n">
        <f aca="false">IF(F113=0,"–",J113/F113*100)</f>
        <v>19.3798449612403</v>
      </c>
    </row>
    <row r="114" customFormat="false" ht="15" hidden="false" customHeight="false" outlineLevel="0" collapsed="false">
      <c r="A114" s="6" t="s">
        <v>130</v>
      </c>
      <c r="B114" s="7" t="n">
        <v>22</v>
      </c>
      <c r="C114" s="8" t="n">
        <v>-0.1143</v>
      </c>
      <c r="D114" s="8" t="n">
        <v>0.001</v>
      </c>
      <c r="E114" s="9" t="n">
        <v>1</v>
      </c>
      <c r="F114" s="7" t="n">
        <v>47</v>
      </c>
      <c r="G114" s="7" t="n">
        <v>0</v>
      </c>
      <c r="H114" s="7" t="n">
        <v>47</v>
      </c>
      <c r="I114" s="7" t="n">
        <v>34</v>
      </c>
      <c r="J114" s="7" t="n">
        <v>1</v>
      </c>
      <c r="K114" s="10" t="n">
        <f aca="false">IF(F114=0,"–",J114/F114*100)</f>
        <v>2.12765957446809</v>
      </c>
    </row>
    <row r="115" customFormat="false" ht="15" hidden="false" customHeight="false" outlineLevel="0" collapsed="false">
      <c r="A115" s="6" t="s">
        <v>131</v>
      </c>
      <c r="B115" s="7" t="n">
        <v>14</v>
      </c>
      <c r="C115" s="8" t="n">
        <v>-0.0272</v>
      </c>
      <c r="D115" s="8" t="n">
        <v>0.32</v>
      </c>
      <c r="E115" s="9" t="n">
        <v>0</v>
      </c>
      <c r="F115" s="7" t="n">
        <v>75</v>
      </c>
      <c r="G115" s="7" t="n">
        <v>1</v>
      </c>
      <c r="H115" s="7" t="n">
        <v>76</v>
      </c>
      <c r="I115" s="7" t="n">
        <v>70</v>
      </c>
      <c r="J115" s="7" t="n">
        <v>3</v>
      </c>
      <c r="K115" s="10" t="n">
        <f aca="false">IF(F115=0,"–",J115/F115*100)</f>
        <v>4</v>
      </c>
    </row>
    <row r="116" customFormat="false" ht="15" hidden="false" customHeight="false" outlineLevel="0" collapsed="false">
      <c r="A116" s="6" t="s">
        <v>132</v>
      </c>
      <c r="B116" s="7" t="n">
        <v>23</v>
      </c>
      <c r="C116" s="8" t="n">
        <v>0.4146</v>
      </c>
      <c r="D116" s="8" t="n">
        <v>0.001</v>
      </c>
      <c r="E116" s="9" t="n">
        <v>1</v>
      </c>
      <c r="F116" s="7" t="n">
        <v>61</v>
      </c>
      <c r="G116" s="7" t="n">
        <v>14</v>
      </c>
      <c r="H116" s="7" t="n">
        <v>61</v>
      </c>
      <c r="I116" s="7" t="n">
        <v>55</v>
      </c>
      <c r="J116" s="7" t="n">
        <v>14</v>
      </c>
      <c r="K116" s="10" t="n">
        <f aca="false">IF(F116=0,"–",J116/F116*100)</f>
        <v>22.9508196721311</v>
      </c>
    </row>
    <row r="117" customFormat="false" ht="15" hidden="false" customHeight="false" outlineLevel="0" collapsed="false">
      <c r="A117" s="6" t="s">
        <v>133</v>
      </c>
      <c r="B117" s="7" t="n">
        <v>97</v>
      </c>
      <c r="C117" s="8" t="n">
        <v>0.1586</v>
      </c>
      <c r="D117" s="8" t="n">
        <v>0.001</v>
      </c>
      <c r="E117" s="9" t="n">
        <v>1</v>
      </c>
      <c r="F117" s="7" t="n">
        <v>44</v>
      </c>
      <c r="G117" s="7" t="n">
        <v>18</v>
      </c>
      <c r="H117" s="7" t="n">
        <v>41</v>
      </c>
      <c r="I117" s="7" t="n">
        <v>4</v>
      </c>
      <c r="J117" s="7" t="n">
        <v>7</v>
      </c>
      <c r="K117" s="10" t="n">
        <f aca="false">IF(F117=0,"–",J117/F117*100)</f>
        <v>15.9090909090909</v>
      </c>
    </row>
    <row r="118" customFormat="false" ht="15" hidden="false" customHeight="false" outlineLevel="0" collapsed="false">
      <c r="A118" s="6" t="s">
        <v>134</v>
      </c>
      <c r="B118" s="7" t="n">
        <v>32</v>
      </c>
      <c r="C118" s="8" t="n">
        <v>0.2321</v>
      </c>
      <c r="D118" s="8" t="n">
        <v>0.001</v>
      </c>
      <c r="E118" s="9" t="n">
        <v>1</v>
      </c>
      <c r="F118" s="7" t="n">
        <v>100</v>
      </c>
      <c r="G118" s="7" t="n">
        <v>12</v>
      </c>
      <c r="H118" s="7" t="n">
        <v>100</v>
      </c>
      <c r="I118" s="7" t="n">
        <v>93</v>
      </c>
      <c r="J118" s="7" t="n">
        <v>37</v>
      </c>
      <c r="K118" s="10" t="n">
        <f aca="false">IF(F118=0,"–",J118/F118*100)</f>
        <v>37</v>
      </c>
    </row>
    <row r="119" customFormat="false" ht="15" hidden="false" customHeight="false" outlineLevel="0" collapsed="false">
      <c r="A119" s="6" t="s">
        <v>135</v>
      </c>
      <c r="B119" s="7" t="n">
        <v>26</v>
      </c>
      <c r="C119" s="8" t="n">
        <v>0.0284</v>
      </c>
      <c r="D119" s="8" t="n">
        <v>0.23</v>
      </c>
      <c r="E119" s="9" t="n">
        <v>0</v>
      </c>
      <c r="F119" s="7" t="n">
        <v>34</v>
      </c>
      <c r="G119" s="7" t="n">
        <v>0</v>
      </c>
      <c r="H119" s="7" t="n">
        <v>37</v>
      </c>
      <c r="I119" s="7" t="n">
        <v>24</v>
      </c>
      <c r="J119" s="7" t="n">
        <v>2</v>
      </c>
      <c r="K119" s="10" t="n">
        <f aca="false">IF(F119=0,"–",J119/F119*100)</f>
        <v>5.88235294117647</v>
      </c>
    </row>
    <row r="120" customFormat="false" ht="15" hidden="false" customHeight="false" outlineLevel="0" collapsed="false">
      <c r="A120" s="6" t="s">
        <v>136</v>
      </c>
      <c r="B120" s="7" t="n">
        <v>25</v>
      </c>
      <c r="C120" s="8" t="n">
        <v>0.0038</v>
      </c>
      <c r="D120" s="8" t="n">
        <v>0.372</v>
      </c>
      <c r="E120" s="9" t="n">
        <v>0</v>
      </c>
      <c r="F120" s="7" t="n">
        <v>43</v>
      </c>
      <c r="G120" s="7" t="n">
        <v>2</v>
      </c>
      <c r="H120" s="7" t="n">
        <v>43</v>
      </c>
      <c r="I120" s="7" t="n">
        <v>28</v>
      </c>
      <c r="J120" s="7" t="n">
        <v>8</v>
      </c>
      <c r="K120" s="10" t="n">
        <f aca="false">IF(F120=0,"–",J120/F120*100)</f>
        <v>18.6046511627907</v>
      </c>
    </row>
    <row r="121" customFormat="false" ht="15" hidden="false" customHeight="false" outlineLevel="0" collapsed="false">
      <c r="A121" s="6" t="s">
        <v>137</v>
      </c>
      <c r="B121" s="7" t="n">
        <v>24</v>
      </c>
      <c r="C121" s="8" t="n">
        <v>0.0373</v>
      </c>
      <c r="D121" s="8" t="n">
        <v>0.148</v>
      </c>
      <c r="E121" s="9" t="n">
        <v>0</v>
      </c>
      <c r="F121" s="7" t="n">
        <v>28</v>
      </c>
      <c r="G121" s="7" t="n">
        <v>6</v>
      </c>
      <c r="H121" s="7" t="n">
        <v>29</v>
      </c>
      <c r="I121" s="7" t="n">
        <v>8</v>
      </c>
      <c r="J121" s="7" t="n">
        <v>1</v>
      </c>
      <c r="K121" s="10" t="n">
        <f aca="false">IF(F121=0,"–",J121/F121*100)</f>
        <v>3.57142857142857</v>
      </c>
    </row>
    <row r="122" customFormat="false" ht="15" hidden="false" customHeight="false" outlineLevel="0" collapsed="false">
      <c r="A122" s="6" t="s">
        <v>138</v>
      </c>
      <c r="B122" s="7" t="n">
        <v>14</v>
      </c>
      <c r="C122" s="8" t="n">
        <v>0.3554</v>
      </c>
      <c r="D122" s="8" t="n">
        <v>0.001</v>
      </c>
      <c r="E122" s="9" t="n">
        <v>1</v>
      </c>
      <c r="F122" s="7" t="n">
        <v>55</v>
      </c>
      <c r="G122" s="7" t="n">
        <v>12</v>
      </c>
      <c r="H122" s="7" t="n">
        <v>57</v>
      </c>
      <c r="I122" s="7" t="n">
        <v>44</v>
      </c>
      <c r="J122" s="7" t="n">
        <v>16</v>
      </c>
      <c r="K122" s="10" t="n">
        <f aca="false">IF(F122=0,"–",J122/F122*100)</f>
        <v>29.0909090909091</v>
      </c>
    </row>
    <row r="123" customFormat="false" ht="15" hidden="false" customHeight="false" outlineLevel="0" collapsed="false">
      <c r="A123" s="11" t="s">
        <v>139</v>
      </c>
      <c r="F123" s="12" t="n">
        <f aca="false">SUM(F3:F122)</f>
        <v>5991</v>
      </c>
      <c r="G123" s="12" t="n">
        <f aca="false">SUM(G3:G122)</f>
        <v>748</v>
      </c>
      <c r="H123" s="12" t="n">
        <f aca="false">SUM(H3:H122)</f>
        <v>6042</v>
      </c>
      <c r="I123" s="12" t="n">
        <f aca="false">SUM(I3:I122)</f>
        <v>4032</v>
      </c>
      <c r="J123" s="12" t="n">
        <f aca="false">SUM(J3:J122)</f>
        <v>1250</v>
      </c>
      <c r="K123" s="13" t="n">
        <f aca="false">J123/F123*100</f>
        <v>20.8646302787515</v>
      </c>
    </row>
    <row r="125" customFormat="false" ht="15" hidden="false" customHeight="false" outlineLevel="0" collapsed="false">
      <c r="A125" s="14" t="s">
        <v>6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</row>
  </sheetData>
  <autoFilter ref="A2:K122"/>
  <mergeCells count="2">
    <mergeCell ref="A1:K1"/>
    <mergeCell ref="A125:K1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6" min="5" style="0" width="11"/>
    <col collapsed="false" customWidth="true" hidden="false" outlineLevel="0" max="7" min="7" style="0" width="9"/>
    <col collapsed="false" customWidth="true" hidden="false" outlineLevel="0" max="11" min="8" style="0" width="11"/>
  </cols>
  <sheetData>
    <row r="1" customFormat="false" ht="21.75" hidden="false" customHeight="true" outlineLevel="0" collapsed="false">
      <c r="A1" s="4" t="s">
        <v>140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customFormat="false" ht="30" hidden="false" customHeight="true" outlineLevel="0" collapsed="false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</row>
    <row r="3" customFormat="false" ht="15" hidden="false" customHeight="false" outlineLevel="0" collapsed="false">
      <c r="A3" s="6" t="s">
        <v>19</v>
      </c>
      <c r="B3" s="7" t="n">
        <v>94</v>
      </c>
      <c r="C3" s="8" t="n">
        <v>-0.0467</v>
      </c>
      <c r="D3" s="8" t="n">
        <v>0.155</v>
      </c>
      <c r="E3" s="9" t="n">
        <v>0</v>
      </c>
      <c r="F3" s="7" t="n">
        <v>32</v>
      </c>
      <c r="G3" s="7" t="n">
        <v>8</v>
      </c>
      <c r="H3" s="7" t="n">
        <v>32</v>
      </c>
      <c r="I3" s="7" t="n">
        <v>12</v>
      </c>
      <c r="J3" s="7" t="n">
        <v>6</v>
      </c>
      <c r="K3" s="10" t="n">
        <f aca="false">IF(F3=0,"–",J3/F3*100)</f>
        <v>18.75</v>
      </c>
    </row>
    <row r="4" customFormat="false" ht="15" hidden="false" customHeight="false" outlineLevel="0" collapsed="false">
      <c r="A4" s="6" t="s">
        <v>21</v>
      </c>
      <c r="B4" s="7" t="n">
        <v>14</v>
      </c>
      <c r="C4" s="8" t="n">
        <v>-0.0264</v>
      </c>
      <c r="D4" s="8" t="n">
        <v>0.317</v>
      </c>
      <c r="E4" s="9" t="n">
        <v>0</v>
      </c>
      <c r="F4" s="7" t="n">
        <v>53</v>
      </c>
      <c r="G4" s="7" t="n">
        <v>1</v>
      </c>
      <c r="H4" s="7" t="n">
        <v>52</v>
      </c>
      <c r="I4" s="7" t="n">
        <v>33</v>
      </c>
      <c r="J4" s="7" t="n">
        <v>3</v>
      </c>
      <c r="K4" s="10" t="n">
        <f aca="false">IF(F4=0,"–",J4/F4*100)</f>
        <v>5.66037735849057</v>
      </c>
    </row>
    <row r="5" customFormat="false" ht="15" hidden="false" customHeight="false" outlineLevel="0" collapsed="false">
      <c r="A5" s="6" t="s">
        <v>23</v>
      </c>
      <c r="B5" s="7" t="n">
        <v>15</v>
      </c>
      <c r="C5" s="8" t="n">
        <v>-0.0166</v>
      </c>
      <c r="D5" s="8" t="n">
        <v>0.481</v>
      </c>
      <c r="E5" s="9" t="n">
        <v>0</v>
      </c>
      <c r="F5" s="7" t="n">
        <v>25</v>
      </c>
      <c r="G5" s="7" t="n">
        <v>3</v>
      </c>
      <c r="H5" s="7" t="n">
        <v>25</v>
      </c>
      <c r="I5" s="7" t="n">
        <v>9</v>
      </c>
      <c r="J5" s="7" t="n">
        <v>5</v>
      </c>
      <c r="K5" s="10" t="n">
        <f aca="false">IF(F5=0,"–",J5/F5*100)</f>
        <v>20</v>
      </c>
    </row>
    <row r="6" customFormat="false" ht="15" hidden="false" customHeight="false" outlineLevel="0" collapsed="false">
      <c r="A6" s="6" t="s">
        <v>24</v>
      </c>
      <c r="B6" s="7" t="n">
        <v>18</v>
      </c>
      <c r="C6" s="8" t="n">
        <v>-0.0972</v>
      </c>
      <c r="D6" s="8" t="n">
        <v>0.001</v>
      </c>
      <c r="E6" s="9" t="n">
        <v>1</v>
      </c>
      <c r="F6" s="7" t="n">
        <v>131</v>
      </c>
      <c r="G6" s="7" t="n">
        <v>0</v>
      </c>
      <c r="H6" s="7" t="n">
        <v>132</v>
      </c>
      <c r="I6" s="7" t="n">
        <v>123</v>
      </c>
      <c r="J6" s="7" t="n">
        <v>14</v>
      </c>
      <c r="K6" s="10" t="n">
        <f aca="false">IF(F6=0,"–",J6/F6*100)</f>
        <v>10.6870229007634</v>
      </c>
    </row>
    <row r="7" customFormat="false" ht="15" hidden="false" customHeight="false" outlineLevel="0" collapsed="false">
      <c r="A7" s="6" t="s">
        <v>25</v>
      </c>
      <c r="B7" s="7" t="n">
        <v>39</v>
      </c>
      <c r="C7" s="8" t="n">
        <v>-0.0784</v>
      </c>
      <c r="D7" s="8" t="n">
        <v>0.022</v>
      </c>
      <c r="E7" s="9" t="n">
        <v>1</v>
      </c>
      <c r="F7" s="7" t="n">
        <v>27</v>
      </c>
      <c r="G7" s="7" t="n">
        <v>3</v>
      </c>
      <c r="H7" s="7" t="n">
        <v>31</v>
      </c>
      <c r="I7" s="7" t="n">
        <v>15</v>
      </c>
      <c r="J7" s="7" t="n">
        <v>4</v>
      </c>
      <c r="K7" s="10" t="n">
        <f aca="false">IF(F7=0,"–",J7/F7*100)</f>
        <v>14.8148148148148</v>
      </c>
    </row>
    <row r="8" customFormat="false" ht="15" hidden="false" customHeight="false" outlineLevel="0" collapsed="false">
      <c r="A8" s="6" t="s">
        <v>26</v>
      </c>
      <c r="B8" s="7" t="n">
        <v>13</v>
      </c>
      <c r="C8" s="8" t="n">
        <v>0.0974</v>
      </c>
      <c r="D8" s="8" t="n">
        <v>0.025</v>
      </c>
      <c r="E8" s="9" t="n">
        <v>1</v>
      </c>
      <c r="F8" s="7" t="n">
        <v>15</v>
      </c>
      <c r="G8" s="7" t="n">
        <v>2</v>
      </c>
      <c r="H8" s="7" t="n">
        <v>19</v>
      </c>
      <c r="I8" s="7" t="n">
        <v>8</v>
      </c>
      <c r="J8" s="7" t="n">
        <v>2</v>
      </c>
      <c r="K8" s="10" t="n">
        <f aca="false">IF(F8=0,"–",J8/F8*100)</f>
        <v>13.3333333333333</v>
      </c>
    </row>
    <row r="9" customFormat="false" ht="15" hidden="false" customHeight="false" outlineLevel="0" collapsed="false">
      <c r="A9" s="6" t="s">
        <v>27</v>
      </c>
      <c r="B9" s="7" t="n">
        <v>19</v>
      </c>
      <c r="C9" s="8" t="n">
        <v>0.0178</v>
      </c>
      <c r="D9" s="8" t="n">
        <v>0.246</v>
      </c>
      <c r="E9" s="9" t="n">
        <v>0</v>
      </c>
      <c r="F9" s="7" t="n">
        <v>57</v>
      </c>
      <c r="G9" s="7" t="n">
        <v>0</v>
      </c>
      <c r="H9" s="7" t="n">
        <v>57</v>
      </c>
      <c r="I9" s="7" t="n">
        <v>38</v>
      </c>
      <c r="J9" s="7" t="n">
        <v>8</v>
      </c>
      <c r="K9" s="10" t="n">
        <f aca="false">IF(F9=0,"–",J9/F9*100)</f>
        <v>14.0350877192982</v>
      </c>
    </row>
    <row r="10" customFormat="false" ht="15" hidden="false" customHeight="false" outlineLevel="0" collapsed="false">
      <c r="A10" s="6" t="s">
        <v>28</v>
      </c>
      <c r="B10" s="7" t="n">
        <v>12</v>
      </c>
      <c r="C10" s="8" t="n">
        <v>-0.0555</v>
      </c>
      <c r="D10" s="8" t="n">
        <v>0.004</v>
      </c>
      <c r="E10" s="9" t="n">
        <v>1</v>
      </c>
      <c r="F10" s="7" t="n">
        <v>23</v>
      </c>
      <c r="G10" s="7" t="n">
        <v>0</v>
      </c>
      <c r="H10" s="7" t="n">
        <v>21</v>
      </c>
      <c r="I10" s="7" t="n">
        <v>4</v>
      </c>
      <c r="J10" s="7" t="n">
        <v>8</v>
      </c>
      <c r="K10" s="10" t="n">
        <f aca="false">IF(F10=0,"–",J10/F10*100)</f>
        <v>34.7826086956522</v>
      </c>
    </row>
    <row r="11" customFormat="false" ht="15" hidden="false" customHeight="false" outlineLevel="0" collapsed="false">
      <c r="A11" s="6" t="s">
        <v>29</v>
      </c>
      <c r="B11" s="7" t="n">
        <v>14</v>
      </c>
      <c r="C11" s="8" t="n">
        <v>-0.0072</v>
      </c>
      <c r="D11" s="8" t="n">
        <v>0.464</v>
      </c>
      <c r="E11" s="9" t="n">
        <v>0</v>
      </c>
      <c r="F11" s="7" t="n">
        <v>26</v>
      </c>
      <c r="G11" s="7" t="n">
        <v>2</v>
      </c>
      <c r="H11" s="7" t="n">
        <v>26</v>
      </c>
      <c r="I11" s="7" t="n">
        <v>4</v>
      </c>
      <c r="J11" s="7" t="n">
        <v>2</v>
      </c>
      <c r="K11" s="10" t="n">
        <f aca="false">IF(F11=0,"–",J11/F11*100)</f>
        <v>7.69230769230769</v>
      </c>
    </row>
    <row r="12" customFormat="false" ht="15" hidden="false" customHeight="false" outlineLevel="0" collapsed="false">
      <c r="A12" s="6" t="s">
        <v>30</v>
      </c>
      <c r="B12" s="7" t="n">
        <v>22</v>
      </c>
      <c r="C12" s="8" t="n">
        <v>-0.0074</v>
      </c>
      <c r="D12" s="8" t="n">
        <v>0.483</v>
      </c>
      <c r="E12" s="9" t="n">
        <v>0</v>
      </c>
      <c r="F12" s="7" t="n">
        <v>92</v>
      </c>
      <c r="G12" s="7" t="n">
        <v>1</v>
      </c>
      <c r="H12" s="7" t="n">
        <v>95</v>
      </c>
      <c r="I12" s="7" t="n">
        <v>85</v>
      </c>
      <c r="J12" s="7" t="n">
        <v>13</v>
      </c>
      <c r="K12" s="10" t="n">
        <f aca="false">IF(F12=0,"–",J12/F12*100)</f>
        <v>14.1304347826087</v>
      </c>
    </row>
    <row r="13" customFormat="false" ht="15" hidden="false" customHeight="false" outlineLevel="0" collapsed="false">
      <c r="A13" s="6" t="s">
        <v>31</v>
      </c>
      <c r="B13" s="7" t="n">
        <v>12</v>
      </c>
      <c r="C13" s="8" t="n">
        <v>0.0136</v>
      </c>
      <c r="D13" s="8" t="n">
        <v>0.265</v>
      </c>
      <c r="E13" s="9" t="n">
        <v>0</v>
      </c>
      <c r="F13" s="7" t="n">
        <v>37</v>
      </c>
      <c r="G13" s="7" t="n">
        <v>2</v>
      </c>
      <c r="H13" s="7" t="n">
        <v>36</v>
      </c>
      <c r="I13" s="7" t="n">
        <v>15</v>
      </c>
      <c r="J13" s="7" t="n">
        <v>4</v>
      </c>
      <c r="K13" s="10" t="n">
        <f aca="false">IF(F13=0,"–",J13/F13*100)</f>
        <v>10.8108108108108</v>
      </c>
    </row>
    <row r="14" customFormat="false" ht="15" hidden="false" customHeight="false" outlineLevel="0" collapsed="false">
      <c r="A14" s="6" t="s">
        <v>32</v>
      </c>
      <c r="B14" s="7" t="n">
        <v>28</v>
      </c>
      <c r="C14" s="8" t="n">
        <v>0.0186</v>
      </c>
      <c r="D14" s="8" t="n">
        <v>0.239</v>
      </c>
      <c r="E14" s="9" t="n">
        <v>0</v>
      </c>
      <c r="F14" s="7" t="n">
        <v>34</v>
      </c>
      <c r="G14" s="7" t="n">
        <v>5</v>
      </c>
      <c r="H14" s="7" t="n">
        <v>36</v>
      </c>
      <c r="I14" s="7" t="n">
        <v>10</v>
      </c>
      <c r="J14" s="7" t="n">
        <v>5</v>
      </c>
      <c r="K14" s="10" t="n">
        <f aca="false">IF(F14=0,"–",J14/F14*100)</f>
        <v>14.7058823529412</v>
      </c>
    </row>
    <row r="15" customFormat="false" ht="15" hidden="false" customHeight="false" outlineLevel="0" collapsed="false">
      <c r="A15" s="6" t="s">
        <v>33</v>
      </c>
      <c r="B15" s="7" t="n">
        <v>30</v>
      </c>
      <c r="C15" s="8" t="n">
        <v>0.0183</v>
      </c>
      <c r="D15" s="8" t="n">
        <v>0.256</v>
      </c>
      <c r="E15" s="9" t="n">
        <v>0</v>
      </c>
      <c r="F15" s="7" t="n">
        <v>118</v>
      </c>
      <c r="G15" s="7" t="n">
        <v>4</v>
      </c>
      <c r="H15" s="7" t="n">
        <v>119</v>
      </c>
      <c r="I15" s="7" t="n">
        <v>107</v>
      </c>
      <c r="J15" s="7" t="n">
        <v>12</v>
      </c>
      <c r="K15" s="10" t="n">
        <f aca="false">IF(F15=0,"–",J15/F15*100)</f>
        <v>10.1694915254237</v>
      </c>
    </row>
    <row r="16" customFormat="false" ht="15" hidden="false" customHeight="false" outlineLevel="0" collapsed="false">
      <c r="A16" s="6" t="s">
        <v>34</v>
      </c>
      <c r="B16" s="7" t="n">
        <v>54</v>
      </c>
      <c r="C16" s="8" t="n">
        <v>0.0531</v>
      </c>
      <c r="D16" s="8" t="n">
        <v>0.105</v>
      </c>
      <c r="E16" s="9" t="n">
        <v>0</v>
      </c>
      <c r="F16" s="7" t="n">
        <v>24</v>
      </c>
      <c r="G16" s="7" t="n">
        <v>3</v>
      </c>
      <c r="H16" s="7" t="n">
        <v>26</v>
      </c>
      <c r="I16" s="7" t="n">
        <v>12</v>
      </c>
      <c r="J16" s="7" t="n">
        <v>2</v>
      </c>
      <c r="K16" s="10" t="n">
        <f aca="false">IF(F16=0,"–",J16/F16*100)</f>
        <v>8.33333333333333</v>
      </c>
    </row>
    <row r="17" customFormat="false" ht="15" hidden="false" customHeight="false" outlineLevel="0" collapsed="false">
      <c r="A17" s="6" t="s">
        <v>37</v>
      </c>
      <c r="B17" s="7" t="n">
        <v>11</v>
      </c>
      <c r="C17" s="8" t="n">
        <v>-0.0331</v>
      </c>
      <c r="D17" s="8" t="n">
        <v>0.298</v>
      </c>
      <c r="E17" s="9" t="n">
        <v>0</v>
      </c>
      <c r="F17" s="7" t="n">
        <v>170</v>
      </c>
      <c r="G17" s="7" t="n">
        <v>0</v>
      </c>
      <c r="H17" s="7" t="n">
        <v>176</v>
      </c>
      <c r="I17" s="7" t="n">
        <v>161</v>
      </c>
      <c r="J17" s="7" t="n">
        <v>41</v>
      </c>
      <c r="K17" s="10" t="n">
        <f aca="false">IF(F17=0,"–",J17/F17*100)</f>
        <v>24.1176470588235</v>
      </c>
    </row>
    <row r="18" customFormat="false" ht="15" hidden="false" customHeight="false" outlineLevel="0" collapsed="false">
      <c r="A18" s="6" t="s">
        <v>39</v>
      </c>
      <c r="B18" s="7" t="n">
        <v>12</v>
      </c>
      <c r="C18" s="8" t="n">
        <v>-0.0149</v>
      </c>
      <c r="D18" s="8" t="n">
        <v>0.443</v>
      </c>
      <c r="E18" s="9" t="n">
        <v>0</v>
      </c>
      <c r="F18" s="7" t="n">
        <v>26</v>
      </c>
      <c r="G18" s="7" t="n">
        <v>1</v>
      </c>
      <c r="H18" s="7" t="n">
        <v>26</v>
      </c>
      <c r="I18" s="7" t="n">
        <v>7</v>
      </c>
      <c r="J18" s="7" t="n">
        <v>5</v>
      </c>
      <c r="K18" s="10" t="n">
        <f aca="false">IF(F18=0,"–",J18/F18*100)</f>
        <v>19.2307692307692</v>
      </c>
    </row>
    <row r="19" customFormat="false" ht="15" hidden="false" customHeight="false" outlineLevel="0" collapsed="false">
      <c r="A19" s="6" t="s">
        <v>43</v>
      </c>
      <c r="B19" s="7" t="n">
        <v>70</v>
      </c>
      <c r="C19" s="8" t="n">
        <v>-0.0434</v>
      </c>
      <c r="D19" s="8" t="n">
        <v>0.181</v>
      </c>
      <c r="E19" s="9" t="n">
        <v>0</v>
      </c>
      <c r="F19" s="7" t="n">
        <v>25</v>
      </c>
      <c r="G19" s="7" t="n">
        <v>2</v>
      </c>
      <c r="H19" s="7" t="n">
        <v>25</v>
      </c>
      <c r="I19" s="7" t="n">
        <v>4</v>
      </c>
      <c r="J19" s="7" t="n">
        <v>0</v>
      </c>
      <c r="K19" s="10" t="n">
        <f aca="false">IF(F19=0,"–",J19/F19*100)</f>
        <v>0</v>
      </c>
    </row>
    <row r="20" customFormat="false" ht="15" hidden="false" customHeight="false" outlineLevel="0" collapsed="false">
      <c r="A20" s="6" t="s">
        <v>45</v>
      </c>
      <c r="B20" s="7" t="n">
        <v>51</v>
      </c>
      <c r="C20" s="8" t="n">
        <v>0.0558</v>
      </c>
      <c r="D20" s="8" t="n">
        <v>0.079</v>
      </c>
      <c r="E20" s="9" t="n">
        <v>0</v>
      </c>
      <c r="F20" s="7" t="n">
        <v>34</v>
      </c>
      <c r="G20" s="7" t="n">
        <v>7</v>
      </c>
      <c r="H20" s="7" t="n">
        <v>34</v>
      </c>
      <c r="I20" s="7" t="n">
        <v>8</v>
      </c>
      <c r="J20" s="7" t="n">
        <v>10</v>
      </c>
      <c r="K20" s="10" t="n">
        <f aca="false">IF(F20=0,"–",J20/F20*100)</f>
        <v>29.4117647058824</v>
      </c>
    </row>
    <row r="21" customFormat="false" ht="15" hidden="false" customHeight="false" outlineLevel="0" collapsed="false">
      <c r="A21" s="6" t="s">
        <v>48</v>
      </c>
      <c r="B21" s="7" t="n">
        <v>11</v>
      </c>
      <c r="C21" s="8" t="n">
        <v>-0.0019</v>
      </c>
      <c r="D21" s="8" t="n">
        <v>0.359</v>
      </c>
      <c r="E21" s="9" t="n">
        <v>0</v>
      </c>
      <c r="F21" s="7" t="n">
        <v>127</v>
      </c>
      <c r="G21" s="7" t="n">
        <v>1</v>
      </c>
      <c r="H21" s="7" t="n">
        <v>127</v>
      </c>
      <c r="I21" s="7" t="n">
        <v>123</v>
      </c>
      <c r="J21" s="7" t="n">
        <v>16</v>
      </c>
      <c r="K21" s="10" t="n">
        <f aca="false">IF(F21=0,"–",J21/F21*100)</f>
        <v>12.5984251968504</v>
      </c>
    </row>
    <row r="22" customFormat="false" ht="15" hidden="false" customHeight="false" outlineLevel="0" collapsed="false">
      <c r="A22" s="6" t="s">
        <v>49</v>
      </c>
      <c r="B22" s="7" t="n">
        <v>21</v>
      </c>
      <c r="C22" s="8" t="n">
        <v>-0.0381</v>
      </c>
      <c r="D22" s="8" t="n">
        <v>0.2</v>
      </c>
      <c r="E22" s="9" t="n">
        <v>0</v>
      </c>
      <c r="F22" s="7" t="n">
        <v>23</v>
      </c>
      <c r="G22" s="7" t="n">
        <v>1</v>
      </c>
      <c r="H22" s="7" t="n">
        <v>23</v>
      </c>
      <c r="I22" s="7" t="n">
        <v>13</v>
      </c>
      <c r="J22" s="7" t="n">
        <v>3</v>
      </c>
      <c r="K22" s="10" t="n">
        <f aca="false">IF(F22=0,"–",J22/F22*100)</f>
        <v>13.0434782608696</v>
      </c>
    </row>
    <row r="23" customFormat="false" ht="15" hidden="false" customHeight="false" outlineLevel="0" collapsed="false">
      <c r="A23" s="6" t="s">
        <v>50</v>
      </c>
      <c r="B23" s="7" t="n">
        <v>14</v>
      </c>
      <c r="C23" s="8" t="n">
        <v>-0.0125</v>
      </c>
      <c r="D23" s="8" t="n">
        <v>0.486</v>
      </c>
      <c r="E23" s="9" t="n">
        <v>0</v>
      </c>
      <c r="F23" s="7" t="n">
        <v>165</v>
      </c>
      <c r="G23" s="7" t="n">
        <v>2</v>
      </c>
      <c r="H23" s="7" t="n">
        <v>166</v>
      </c>
      <c r="I23" s="7" t="n">
        <v>163</v>
      </c>
      <c r="J23" s="7" t="n">
        <v>28</v>
      </c>
      <c r="K23" s="10" t="n">
        <f aca="false">IF(F23=0,"–",J23/F23*100)</f>
        <v>16.969696969697</v>
      </c>
    </row>
    <row r="24" customFormat="false" ht="15" hidden="false" customHeight="false" outlineLevel="0" collapsed="false">
      <c r="A24" s="6" t="s">
        <v>51</v>
      </c>
      <c r="B24" s="7" t="n">
        <v>16</v>
      </c>
      <c r="C24" s="8" t="n">
        <v>-0.0724</v>
      </c>
      <c r="D24" s="8" t="n">
        <v>0.003</v>
      </c>
      <c r="E24" s="9" t="n">
        <v>1</v>
      </c>
      <c r="F24" s="7" t="n">
        <v>25</v>
      </c>
      <c r="G24" s="7" t="n">
        <v>1</v>
      </c>
      <c r="H24" s="7" t="n">
        <v>26</v>
      </c>
      <c r="I24" s="7" t="n">
        <v>16</v>
      </c>
      <c r="J24" s="7" t="n">
        <v>4</v>
      </c>
      <c r="K24" s="10" t="n">
        <f aca="false">IF(F24=0,"–",J24/F24*100)</f>
        <v>16</v>
      </c>
    </row>
    <row r="25" customFormat="false" ht="15" hidden="false" customHeight="false" outlineLevel="0" collapsed="false">
      <c r="A25" s="6" t="s">
        <v>52</v>
      </c>
      <c r="B25" s="7" t="n">
        <v>26</v>
      </c>
      <c r="C25" s="8" t="n">
        <v>-0.0038</v>
      </c>
      <c r="D25" s="8" t="n">
        <v>0.448</v>
      </c>
      <c r="E25" s="9" t="n">
        <v>0</v>
      </c>
      <c r="F25" s="7" t="n">
        <v>109</v>
      </c>
      <c r="G25" s="7" t="n">
        <v>3</v>
      </c>
      <c r="H25" s="7" t="n">
        <v>110</v>
      </c>
      <c r="I25" s="7" t="n">
        <v>99</v>
      </c>
      <c r="J25" s="7" t="n">
        <v>5</v>
      </c>
      <c r="K25" s="10" t="n">
        <f aca="false">IF(F25=0,"–",J25/F25*100)</f>
        <v>4.58715596330275</v>
      </c>
    </row>
    <row r="26" customFormat="false" ht="15" hidden="false" customHeight="false" outlineLevel="0" collapsed="false">
      <c r="A26" s="6" t="s">
        <v>53</v>
      </c>
      <c r="B26" s="7" t="n">
        <v>34</v>
      </c>
      <c r="C26" s="8" t="n">
        <v>-0.0414</v>
      </c>
      <c r="D26" s="8" t="n">
        <v>0.188</v>
      </c>
      <c r="E26" s="9" t="n">
        <v>0</v>
      </c>
      <c r="F26" s="7" t="n">
        <v>19</v>
      </c>
      <c r="G26" s="7" t="n">
        <v>0</v>
      </c>
      <c r="H26" s="7" t="n">
        <v>19</v>
      </c>
      <c r="I26" s="7" t="n">
        <v>4</v>
      </c>
      <c r="J26" s="7" t="n">
        <v>0</v>
      </c>
      <c r="K26" s="10" t="n">
        <f aca="false">IF(F26=0,"–",J26/F26*100)</f>
        <v>0</v>
      </c>
    </row>
    <row r="27" customFormat="false" ht="15" hidden="false" customHeight="false" outlineLevel="0" collapsed="false">
      <c r="A27" s="6" t="s">
        <v>54</v>
      </c>
      <c r="B27" s="7" t="n">
        <v>13</v>
      </c>
      <c r="C27" s="8" t="n">
        <v>-0.0207</v>
      </c>
      <c r="D27" s="8" t="n">
        <v>0.385</v>
      </c>
      <c r="E27" s="9" t="n">
        <v>0</v>
      </c>
      <c r="F27" s="7" t="n">
        <v>49</v>
      </c>
      <c r="G27" s="7" t="n">
        <v>1</v>
      </c>
      <c r="H27" s="7" t="n">
        <v>49</v>
      </c>
      <c r="I27" s="7" t="n">
        <v>32</v>
      </c>
      <c r="J27" s="7" t="n">
        <v>3</v>
      </c>
      <c r="K27" s="10" t="n">
        <f aca="false">IF(F27=0,"–",J27/F27*100)</f>
        <v>6.12244897959184</v>
      </c>
    </row>
    <row r="28" customFormat="false" ht="15" hidden="false" customHeight="false" outlineLevel="0" collapsed="false">
      <c r="A28" s="6" t="s">
        <v>55</v>
      </c>
      <c r="B28" s="7" t="n">
        <v>13</v>
      </c>
      <c r="C28" s="8" t="n">
        <v>0.0122</v>
      </c>
      <c r="D28" s="8" t="n">
        <v>0.278</v>
      </c>
      <c r="E28" s="9" t="n">
        <v>0</v>
      </c>
      <c r="F28" s="7" t="n">
        <v>28</v>
      </c>
      <c r="G28" s="7" t="n">
        <v>2</v>
      </c>
      <c r="H28" s="7" t="n">
        <v>31</v>
      </c>
      <c r="I28" s="7" t="n">
        <v>13</v>
      </c>
      <c r="J28" s="7" t="n">
        <v>5</v>
      </c>
      <c r="K28" s="10" t="n">
        <f aca="false">IF(F28=0,"–",J28/F28*100)</f>
        <v>17.8571428571429</v>
      </c>
    </row>
    <row r="29" customFormat="false" ht="15" hidden="false" customHeight="false" outlineLevel="0" collapsed="false">
      <c r="A29" s="6" t="s">
        <v>56</v>
      </c>
      <c r="B29" s="7" t="n">
        <v>12</v>
      </c>
      <c r="C29" s="8" t="n">
        <v>0.031</v>
      </c>
      <c r="D29" s="8" t="n">
        <v>0.156</v>
      </c>
      <c r="E29" s="9" t="n">
        <v>0</v>
      </c>
      <c r="F29" s="7" t="n">
        <v>25</v>
      </c>
      <c r="G29" s="7" t="n">
        <v>3</v>
      </c>
      <c r="H29" s="7" t="n">
        <v>25</v>
      </c>
      <c r="I29" s="7" t="n">
        <v>9</v>
      </c>
      <c r="J29" s="7" t="n">
        <v>7</v>
      </c>
      <c r="K29" s="10" t="n">
        <f aca="false">IF(F29=0,"–",J29/F29*100)</f>
        <v>28</v>
      </c>
    </row>
    <row r="30" customFormat="false" ht="15" hidden="false" customHeight="false" outlineLevel="0" collapsed="false">
      <c r="A30" s="6" t="s">
        <v>57</v>
      </c>
      <c r="B30" s="7" t="n">
        <v>22</v>
      </c>
      <c r="C30" s="8" t="n">
        <v>0.1361</v>
      </c>
      <c r="D30" s="8" t="n">
        <v>0.005</v>
      </c>
      <c r="E30" s="9" t="n">
        <v>1</v>
      </c>
      <c r="F30" s="7" t="n">
        <v>53</v>
      </c>
      <c r="G30" s="7" t="n">
        <v>4</v>
      </c>
      <c r="H30" s="7" t="n">
        <v>54</v>
      </c>
      <c r="I30" s="7" t="n">
        <v>42</v>
      </c>
      <c r="J30" s="7" t="n">
        <v>10</v>
      </c>
      <c r="K30" s="10" t="n">
        <f aca="false">IF(F30=0,"–",J30/F30*100)</f>
        <v>18.8679245283019</v>
      </c>
    </row>
    <row r="31" customFormat="false" ht="15" hidden="false" customHeight="false" outlineLevel="0" collapsed="false">
      <c r="A31" s="6" t="s">
        <v>58</v>
      </c>
      <c r="B31" s="7" t="n">
        <v>14</v>
      </c>
      <c r="C31" s="8" t="n">
        <v>0.1111</v>
      </c>
      <c r="D31" s="8" t="n">
        <v>0.011</v>
      </c>
      <c r="E31" s="9" t="n">
        <v>1</v>
      </c>
      <c r="F31" s="7" t="n">
        <v>88</v>
      </c>
      <c r="G31" s="7" t="n">
        <v>4</v>
      </c>
      <c r="H31" s="7" t="n">
        <v>89</v>
      </c>
      <c r="I31" s="7" t="n">
        <v>80</v>
      </c>
      <c r="J31" s="7" t="n">
        <v>10</v>
      </c>
      <c r="K31" s="10" t="n">
        <f aca="false">IF(F31=0,"–",J31/F31*100)</f>
        <v>11.3636363636364</v>
      </c>
    </row>
    <row r="32" customFormat="false" ht="15" hidden="false" customHeight="false" outlineLevel="0" collapsed="false">
      <c r="A32" s="6" t="s">
        <v>59</v>
      </c>
      <c r="B32" s="7" t="n">
        <v>26</v>
      </c>
      <c r="C32" s="8" t="n">
        <v>-0.0309</v>
      </c>
      <c r="D32" s="8" t="n">
        <v>0.298</v>
      </c>
      <c r="E32" s="9" t="n">
        <v>0</v>
      </c>
      <c r="F32" s="7" t="n">
        <v>101</v>
      </c>
      <c r="G32" s="7" t="n">
        <v>3</v>
      </c>
      <c r="H32" s="7" t="n">
        <v>100</v>
      </c>
      <c r="I32" s="7" t="n">
        <v>90</v>
      </c>
      <c r="J32" s="7" t="n">
        <v>15</v>
      </c>
      <c r="K32" s="10" t="n">
        <f aca="false">IF(F32=0,"–",J32/F32*100)</f>
        <v>14.8514851485149</v>
      </c>
    </row>
    <row r="33" customFormat="false" ht="15" hidden="false" customHeight="false" outlineLevel="0" collapsed="false">
      <c r="A33" s="6" t="s">
        <v>60</v>
      </c>
      <c r="B33" s="7" t="n">
        <v>46</v>
      </c>
      <c r="C33" s="8" t="n">
        <v>0.1038</v>
      </c>
      <c r="D33" s="8" t="n">
        <v>0.007</v>
      </c>
      <c r="E33" s="9" t="n">
        <v>1</v>
      </c>
      <c r="F33" s="7" t="n">
        <v>60</v>
      </c>
      <c r="G33" s="7" t="n">
        <v>6</v>
      </c>
      <c r="H33" s="7" t="n">
        <v>62</v>
      </c>
      <c r="I33" s="7" t="n">
        <v>49</v>
      </c>
      <c r="J33" s="7" t="n">
        <v>7</v>
      </c>
      <c r="K33" s="10" t="n">
        <f aca="false">IF(F33=0,"–",J33/F33*100)</f>
        <v>11.6666666666667</v>
      </c>
    </row>
    <row r="34" customFormat="false" ht="15" hidden="false" customHeight="false" outlineLevel="0" collapsed="false">
      <c r="A34" s="6" t="s">
        <v>61</v>
      </c>
      <c r="B34" s="7" t="n">
        <v>27</v>
      </c>
      <c r="C34" s="8" t="n">
        <v>0.1066</v>
      </c>
      <c r="D34" s="8" t="n">
        <v>0.012</v>
      </c>
      <c r="E34" s="9" t="n">
        <v>1</v>
      </c>
      <c r="F34" s="7" t="n">
        <v>28</v>
      </c>
      <c r="G34" s="7" t="n">
        <v>6</v>
      </c>
      <c r="H34" s="7" t="n">
        <v>28</v>
      </c>
      <c r="I34" s="7" t="n">
        <v>8</v>
      </c>
      <c r="J34" s="7" t="n">
        <v>6</v>
      </c>
      <c r="K34" s="10" t="n">
        <f aca="false">IF(F34=0,"–",J34/F34*100)</f>
        <v>21.4285714285714</v>
      </c>
    </row>
    <row r="35" customFormat="false" ht="15" hidden="false" customHeight="false" outlineLevel="0" collapsed="false">
      <c r="A35" s="6" t="s">
        <v>62</v>
      </c>
      <c r="B35" s="7" t="n">
        <v>22</v>
      </c>
      <c r="C35" s="8" t="n">
        <v>-0.0566</v>
      </c>
      <c r="D35" s="8" t="n">
        <v>0.084</v>
      </c>
      <c r="E35" s="9" t="n">
        <v>0</v>
      </c>
      <c r="F35" s="7" t="n">
        <v>27</v>
      </c>
      <c r="G35" s="7" t="n">
        <v>0</v>
      </c>
      <c r="H35" s="7" t="n">
        <v>26</v>
      </c>
      <c r="I35" s="7" t="n">
        <v>6</v>
      </c>
      <c r="J35" s="7" t="n">
        <v>2</v>
      </c>
      <c r="K35" s="10" t="n">
        <f aca="false">IF(F35=0,"–",J35/F35*100)</f>
        <v>7.40740740740741</v>
      </c>
    </row>
    <row r="36" customFormat="false" ht="15" hidden="false" customHeight="false" outlineLevel="0" collapsed="false">
      <c r="A36" s="6" t="s">
        <v>63</v>
      </c>
      <c r="B36" s="7" t="n">
        <v>15</v>
      </c>
      <c r="C36" s="8" t="n">
        <v>-0.0791</v>
      </c>
      <c r="D36" s="8" t="n">
        <v>0.001</v>
      </c>
      <c r="E36" s="9" t="n">
        <v>1</v>
      </c>
      <c r="F36" s="7" t="n">
        <v>37</v>
      </c>
      <c r="G36" s="7" t="n">
        <v>0</v>
      </c>
      <c r="H36" s="7" t="n">
        <v>37</v>
      </c>
      <c r="I36" s="7" t="n">
        <v>25</v>
      </c>
      <c r="J36" s="7" t="n">
        <v>4</v>
      </c>
      <c r="K36" s="10" t="n">
        <f aca="false">IF(F36=0,"–",J36/F36*100)</f>
        <v>10.8108108108108</v>
      </c>
    </row>
    <row r="37" customFormat="false" ht="15" hidden="false" customHeight="false" outlineLevel="0" collapsed="false">
      <c r="A37" s="6" t="s">
        <v>64</v>
      </c>
      <c r="B37" s="7" t="n">
        <v>133</v>
      </c>
      <c r="C37" s="8" t="n">
        <v>-0.0213</v>
      </c>
      <c r="D37" s="8" t="n">
        <v>0.344</v>
      </c>
      <c r="E37" s="9" t="n">
        <v>0</v>
      </c>
      <c r="F37" s="7" t="n">
        <v>24</v>
      </c>
      <c r="G37" s="7" t="n">
        <v>8</v>
      </c>
      <c r="H37" s="7" t="n">
        <v>25</v>
      </c>
      <c r="I37" s="7" t="n">
        <v>3</v>
      </c>
      <c r="J37" s="7" t="n">
        <v>3</v>
      </c>
      <c r="K37" s="10" t="n">
        <f aca="false">IF(F37=0,"–",J37/F37*100)</f>
        <v>12.5</v>
      </c>
    </row>
    <row r="38" customFormat="false" ht="15" hidden="false" customHeight="false" outlineLevel="0" collapsed="false">
      <c r="A38" s="6" t="s">
        <v>65</v>
      </c>
      <c r="B38" s="7" t="n">
        <v>22</v>
      </c>
      <c r="C38" s="8" t="n">
        <v>-0.0405</v>
      </c>
      <c r="D38" s="8" t="n">
        <v>0.169</v>
      </c>
      <c r="E38" s="9" t="n">
        <v>0</v>
      </c>
      <c r="F38" s="7" t="n">
        <v>49</v>
      </c>
      <c r="G38" s="7" t="n">
        <v>1</v>
      </c>
      <c r="H38" s="7" t="n">
        <v>51</v>
      </c>
      <c r="I38" s="7" t="n">
        <v>39</v>
      </c>
      <c r="J38" s="7" t="n">
        <v>6</v>
      </c>
      <c r="K38" s="10" t="n">
        <f aca="false">IF(F38=0,"–",J38/F38*100)</f>
        <v>12.2448979591837</v>
      </c>
    </row>
    <row r="39" customFormat="false" ht="15" hidden="false" customHeight="false" outlineLevel="0" collapsed="false">
      <c r="A39" s="6" t="s">
        <v>66</v>
      </c>
      <c r="B39" s="7" t="n">
        <v>12</v>
      </c>
      <c r="C39" s="8" t="n">
        <v>0.0041</v>
      </c>
      <c r="D39" s="8" t="n">
        <v>0.337</v>
      </c>
      <c r="E39" s="9" t="n">
        <v>0</v>
      </c>
      <c r="F39" s="7" t="n">
        <v>105</v>
      </c>
      <c r="G39" s="7" t="n">
        <v>1</v>
      </c>
      <c r="H39" s="7" t="n">
        <v>103</v>
      </c>
      <c r="I39" s="7" t="n">
        <v>96</v>
      </c>
      <c r="J39" s="7" t="n">
        <v>1</v>
      </c>
      <c r="K39" s="10" t="n">
        <f aca="false">IF(F39=0,"–",J39/F39*100)</f>
        <v>0.952380952380952</v>
      </c>
    </row>
    <row r="40" customFormat="false" ht="15" hidden="false" customHeight="false" outlineLevel="0" collapsed="false">
      <c r="A40" s="6" t="s">
        <v>67</v>
      </c>
      <c r="B40" s="7" t="n">
        <v>34</v>
      </c>
      <c r="C40" s="8" t="n">
        <v>0.0854</v>
      </c>
      <c r="D40" s="8" t="n">
        <v>0.036</v>
      </c>
      <c r="E40" s="9" t="n">
        <v>1</v>
      </c>
      <c r="F40" s="7" t="n">
        <v>47</v>
      </c>
      <c r="G40" s="7" t="n">
        <v>6</v>
      </c>
      <c r="H40" s="7" t="n">
        <v>47</v>
      </c>
      <c r="I40" s="7" t="n">
        <v>36</v>
      </c>
      <c r="J40" s="7" t="n">
        <v>4</v>
      </c>
      <c r="K40" s="10" t="n">
        <f aca="false">IF(F40=0,"–",J40/F40*100)</f>
        <v>8.51063829787234</v>
      </c>
    </row>
    <row r="41" customFormat="false" ht="15" hidden="false" customHeight="false" outlineLevel="0" collapsed="false">
      <c r="A41" s="6" t="s">
        <v>68</v>
      </c>
      <c r="B41" s="7" t="n">
        <v>20</v>
      </c>
      <c r="C41" s="8" t="n">
        <v>0.0055</v>
      </c>
      <c r="D41" s="8" t="n">
        <v>0.367</v>
      </c>
      <c r="E41" s="9" t="n">
        <v>0</v>
      </c>
      <c r="F41" s="7" t="n">
        <v>29</v>
      </c>
      <c r="G41" s="7" t="n">
        <v>4</v>
      </c>
      <c r="H41" s="7" t="n">
        <v>28</v>
      </c>
      <c r="I41" s="7" t="n">
        <v>8</v>
      </c>
      <c r="J41" s="7" t="n">
        <v>2</v>
      </c>
      <c r="K41" s="10" t="n">
        <f aca="false">IF(F41=0,"–",J41/F41*100)</f>
        <v>6.89655172413793</v>
      </c>
    </row>
    <row r="42" customFormat="false" ht="15" hidden="false" customHeight="false" outlineLevel="0" collapsed="false">
      <c r="A42" s="6" t="s">
        <v>69</v>
      </c>
      <c r="B42" s="7" t="n">
        <v>15</v>
      </c>
      <c r="C42" s="8" t="n">
        <v>0.0108</v>
      </c>
      <c r="D42" s="8" t="n">
        <v>0.289</v>
      </c>
      <c r="E42" s="9" t="n">
        <v>0</v>
      </c>
      <c r="F42" s="7" t="n">
        <v>25</v>
      </c>
      <c r="G42" s="7" t="n">
        <v>1</v>
      </c>
      <c r="H42" s="7" t="n">
        <v>25</v>
      </c>
      <c r="I42" s="7" t="n">
        <v>3</v>
      </c>
      <c r="J42" s="7" t="n">
        <v>2</v>
      </c>
      <c r="K42" s="10" t="n">
        <f aca="false">IF(F42=0,"–",J42/F42*100)</f>
        <v>8</v>
      </c>
    </row>
    <row r="43" customFormat="false" ht="15" hidden="false" customHeight="false" outlineLevel="0" collapsed="false">
      <c r="A43" s="6" t="s">
        <v>70</v>
      </c>
      <c r="B43" s="7" t="n">
        <v>98</v>
      </c>
      <c r="C43" s="8" t="n">
        <v>0.0298</v>
      </c>
      <c r="D43" s="8" t="n">
        <v>0.212</v>
      </c>
      <c r="E43" s="9" t="n">
        <v>0</v>
      </c>
      <c r="F43" s="7" t="n">
        <v>27</v>
      </c>
      <c r="G43" s="7" t="n">
        <v>7</v>
      </c>
      <c r="H43" s="7" t="n">
        <v>27</v>
      </c>
      <c r="I43" s="7" t="n">
        <v>5</v>
      </c>
      <c r="J43" s="7" t="n">
        <v>3</v>
      </c>
      <c r="K43" s="10" t="n">
        <f aca="false">IF(F43=0,"–",J43/F43*100)</f>
        <v>11.1111111111111</v>
      </c>
    </row>
    <row r="44" customFormat="false" ht="15" hidden="false" customHeight="false" outlineLevel="0" collapsed="false">
      <c r="A44" s="6" t="s">
        <v>71</v>
      </c>
      <c r="B44" s="7" t="n">
        <v>11</v>
      </c>
      <c r="C44" s="8" t="n">
        <v>-0.0216</v>
      </c>
      <c r="D44" s="8" t="n">
        <v>0.431</v>
      </c>
      <c r="E44" s="9" t="n">
        <v>0</v>
      </c>
      <c r="F44" s="7" t="n">
        <v>95</v>
      </c>
      <c r="G44" s="7" t="n">
        <v>1</v>
      </c>
      <c r="H44" s="7" t="n">
        <v>95</v>
      </c>
      <c r="I44" s="7" t="n">
        <v>88</v>
      </c>
      <c r="J44" s="7" t="n">
        <v>5</v>
      </c>
      <c r="K44" s="10" t="n">
        <f aca="false">IF(F44=0,"–",J44/F44*100)</f>
        <v>5.26315789473684</v>
      </c>
    </row>
    <row r="45" customFormat="false" ht="15" hidden="false" customHeight="false" outlineLevel="0" collapsed="false">
      <c r="A45" s="6" t="s">
        <v>72</v>
      </c>
      <c r="B45" s="7" t="n">
        <v>26</v>
      </c>
      <c r="C45" s="8" t="n">
        <v>-0.0266</v>
      </c>
      <c r="D45" s="8" t="n">
        <v>0.322</v>
      </c>
      <c r="E45" s="9" t="n">
        <v>0</v>
      </c>
      <c r="F45" s="7" t="n">
        <v>98</v>
      </c>
      <c r="G45" s="7" t="n">
        <v>0</v>
      </c>
      <c r="H45" s="7" t="n">
        <v>99</v>
      </c>
      <c r="I45" s="7" t="n">
        <v>90</v>
      </c>
      <c r="J45" s="7" t="n">
        <v>2</v>
      </c>
      <c r="K45" s="10" t="n">
        <f aca="false">IF(F45=0,"–",J45/F45*100)</f>
        <v>2.04081632653061</v>
      </c>
    </row>
    <row r="46" customFormat="false" ht="15" hidden="false" customHeight="false" outlineLevel="0" collapsed="false">
      <c r="A46" s="6" t="s">
        <v>73</v>
      </c>
      <c r="B46" s="7" t="n">
        <v>12</v>
      </c>
      <c r="C46" s="8" t="n">
        <v>0.0748</v>
      </c>
      <c r="D46" s="8" t="n">
        <v>0.044</v>
      </c>
      <c r="E46" s="9" t="n">
        <v>1</v>
      </c>
      <c r="F46" s="7" t="n">
        <v>24</v>
      </c>
      <c r="G46" s="7" t="n">
        <v>4</v>
      </c>
      <c r="H46" s="7" t="n">
        <v>23</v>
      </c>
      <c r="I46" s="7" t="n">
        <v>4</v>
      </c>
      <c r="J46" s="7" t="n">
        <v>6</v>
      </c>
      <c r="K46" s="10" t="n">
        <f aca="false">IF(F46=0,"–",J46/F46*100)</f>
        <v>25</v>
      </c>
    </row>
    <row r="47" customFormat="false" ht="15" hidden="false" customHeight="false" outlineLevel="0" collapsed="false">
      <c r="A47" s="6" t="s">
        <v>74</v>
      </c>
      <c r="B47" s="7" t="n">
        <v>130</v>
      </c>
      <c r="C47" s="8" t="n">
        <v>0.0557</v>
      </c>
      <c r="D47" s="8" t="n">
        <v>0.081</v>
      </c>
      <c r="E47" s="9" t="n">
        <v>0</v>
      </c>
      <c r="F47" s="7" t="n">
        <v>22</v>
      </c>
      <c r="G47" s="7" t="n">
        <v>7</v>
      </c>
      <c r="H47" s="7" t="n">
        <v>23</v>
      </c>
      <c r="I47" s="7" t="n">
        <v>2</v>
      </c>
      <c r="J47" s="7" t="n">
        <v>4</v>
      </c>
      <c r="K47" s="10" t="n">
        <f aca="false">IF(F47=0,"–",J47/F47*100)</f>
        <v>18.1818181818182</v>
      </c>
    </row>
    <row r="48" customFormat="false" ht="15" hidden="false" customHeight="false" outlineLevel="0" collapsed="false">
      <c r="A48" s="6" t="s">
        <v>75</v>
      </c>
      <c r="B48" s="7" t="n">
        <v>50</v>
      </c>
      <c r="C48" s="8" t="n">
        <v>-0.0237</v>
      </c>
      <c r="D48" s="8" t="n">
        <v>0.355</v>
      </c>
      <c r="E48" s="9" t="n">
        <v>0</v>
      </c>
      <c r="F48" s="7" t="n">
        <v>36</v>
      </c>
      <c r="G48" s="7" t="n">
        <v>6</v>
      </c>
      <c r="H48" s="7" t="n">
        <v>36</v>
      </c>
      <c r="I48" s="7" t="n">
        <v>18</v>
      </c>
      <c r="J48" s="7" t="n">
        <v>10</v>
      </c>
      <c r="K48" s="10" t="n">
        <f aca="false">IF(F48=0,"–",J48/F48*100)</f>
        <v>27.7777777777778</v>
      </c>
    </row>
    <row r="49" customFormat="false" ht="15" hidden="false" customHeight="false" outlineLevel="0" collapsed="false">
      <c r="A49" s="6" t="s">
        <v>76</v>
      </c>
      <c r="B49" s="7" t="n">
        <v>11</v>
      </c>
      <c r="C49" s="8" t="n">
        <v>0.0352</v>
      </c>
      <c r="D49" s="8" t="n">
        <v>0.151</v>
      </c>
      <c r="E49" s="9" t="n">
        <v>0</v>
      </c>
      <c r="F49" s="7" t="n">
        <v>178</v>
      </c>
      <c r="G49" s="7" t="n">
        <v>1</v>
      </c>
      <c r="H49" s="7" t="n">
        <v>179</v>
      </c>
      <c r="I49" s="7" t="n">
        <v>176</v>
      </c>
      <c r="J49" s="7" t="n">
        <v>47</v>
      </c>
      <c r="K49" s="10" t="n">
        <f aca="false">IF(F49=0,"–",J49/F49*100)</f>
        <v>26.4044943820225</v>
      </c>
    </row>
    <row r="50" customFormat="false" ht="15" hidden="false" customHeight="false" outlineLevel="0" collapsed="false">
      <c r="A50" s="6" t="s">
        <v>77</v>
      </c>
      <c r="B50" s="7" t="n">
        <v>74</v>
      </c>
      <c r="C50" s="8" t="n">
        <v>-0.0121</v>
      </c>
      <c r="D50" s="8" t="n">
        <v>0.441</v>
      </c>
      <c r="E50" s="9" t="n">
        <v>0</v>
      </c>
      <c r="F50" s="7" t="n">
        <v>27</v>
      </c>
      <c r="G50" s="7" t="n">
        <v>5</v>
      </c>
      <c r="H50" s="7" t="n">
        <v>26</v>
      </c>
      <c r="I50" s="7" t="n">
        <v>11</v>
      </c>
      <c r="J50" s="7" t="n">
        <v>3</v>
      </c>
      <c r="K50" s="10" t="n">
        <f aca="false">IF(F50=0,"–",J50/F50*100)</f>
        <v>11.1111111111111</v>
      </c>
    </row>
    <row r="51" customFormat="false" ht="15" hidden="false" customHeight="false" outlineLevel="0" collapsed="false">
      <c r="A51" s="6" t="s">
        <v>78</v>
      </c>
      <c r="B51" s="7" t="n">
        <v>20</v>
      </c>
      <c r="C51" s="8" t="n">
        <v>-0.0013</v>
      </c>
      <c r="D51" s="8" t="n">
        <v>0.404</v>
      </c>
      <c r="E51" s="9" t="n">
        <v>0</v>
      </c>
      <c r="F51" s="7" t="n">
        <v>29</v>
      </c>
      <c r="G51" s="7" t="n">
        <v>3</v>
      </c>
      <c r="H51" s="7" t="n">
        <v>29</v>
      </c>
      <c r="I51" s="7" t="n">
        <v>8</v>
      </c>
      <c r="J51" s="7" t="n">
        <v>5</v>
      </c>
      <c r="K51" s="10" t="n">
        <f aca="false">IF(F51=0,"–",J51/F51*100)</f>
        <v>17.2413793103448</v>
      </c>
    </row>
    <row r="52" customFormat="false" ht="15" hidden="false" customHeight="false" outlineLevel="0" collapsed="false">
      <c r="A52" s="6" t="s">
        <v>79</v>
      </c>
      <c r="B52" s="7" t="n">
        <v>13</v>
      </c>
      <c r="C52" s="8" t="n">
        <v>0.0048</v>
      </c>
      <c r="D52" s="8" t="n">
        <v>0.299</v>
      </c>
      <c r="E52" s="9" t="n">
        <v>0</v>
      </c>
      <c r="F52" s="7" t="n">
        <v>73</v>
      </c>
      <c r="G52" s="7" t="n">
        <v>2</v>
      </c>
      <c r="H52" s="7" t="n">
        <v>74</v>
      </c>
      <c r="I52" s="7" t="n">
        <v>63</v>
      </c>
      <c r="J52" s="7" t="n">
        <v>10</v>
      </c>
      <c r="K52" s="10" t="n">
        <f aca="false">IF(F52=0,"–",J52/F52*100)</f>
        <v>13.6986301369863</v>
      </c>
    </row>
    <row r="53" customFormat="false" ht="15" hidden="false" customHeight="false" outlineLevel="0" collapsed="false">
      <c r="A53" s="6" t="s">
        <v>80</v>
      </c>
      <c r="B53" s="7" t="n">
        <v>156</v>
      </c>
      <c r="C53" s="8" t="n">
        <v>-0.0295</v>
      </c>
      <c r="D53" s="8" t="n">
        <v>0.283</v>
      </c>
      <c r="E53" s="9" t="n">
        <v>0</v>
      </c>
      <c r="F53" s="7" t="n">
        <v>28</v>
      </c>
      <c r="G53" s="7" t="n">
        <v>11</v>
      </c>
      <c r="H53" s="7" t="n">
        <v>28</v>
      </c>
      <c r="I53" s="7" t="n">
        <v>2</v>
      </c>
      <c r="J53" s="7" t="n">
        <v>4</v>
      </c>
      <c r="K53" s="10" t="n">
        <f aca="false">IF(F53=0,"–",J53/F53*100)</f>
        <v>14.2857142857143</v>
      </c>
    </row>
    <row r="54" customFormat="false" ht="15" hidden="false" customHeight="false" outlineLevel="0" collapsed="false">
      <c r="A54" s="6" t="s">
        <v>81</v>
      </c>
      <c r="B54" s="7" t="n">
        <v>10</v>
      </c>
      <c r="C54" s="8" t="n">
        <v>0.06</v>
      </c>
      <c r="D54" s="8" t="n">
        <v>0.062</v>
      </c>
      <c r="E54" s="9" t="n">
        <v>0</v>
      </c>
      <c r="F54" s="7" t="n">
        <v>160</v>
      </c>
      <c r="G54" s="7" t="n">
        <v>1</v>
      </c>
      <c r="H54" s="7" t="n">
        <v>157</v>
      </c>
      <c r="I54" s="7" t="n">
        <v>156</v>
      </c>
      <c r="J54" s="7" t="n">
        <v>31</v>
      </c>
      <c r="K54" s="10" t="n">
        <f aca="false">IF(F54=0,"–",J54/F54*100)</f>
        <v>19.375</v>
      </c>
    </row>
    <row r="55" customFormat="false" ht="15" hidden="false" customHeight="false" outlineLevel="0" collapsed="false">
      <c r="A55" s="6" t="s">
        <v>82</v>
      </c>
      <c r="B55" s="7" t="n">
        <v>10</v>
      </c>
      <c r="C55" s="8" t="n">
        <v>-0.06</v>
      </c>
      <c r="D55" s="8" t="n">
        <v>0.001</v>
      </c>
      <c r="E55" s="9" t="n">
        <v>1</v>
      </c>
      <c r="F55" s="7" t="n">
        <v>138</v>
      </c>
      <c r="G55" s="7" t="n">
        <v>0</v>
      </c>
      <c r="H55" s="7" t="n">
        <v>141</v>
      </c>
      <c r="I55" s="7" t="n">
        <v>133</v>
      </c>
      <c r="J55" s="7" t="n">
        <v>47</v>
      </c>
      <c r="K55" s="10" t="n">
        <f aca="false">IF(F55=0,"–",J55/F55*100)</f>
        <v>34.0579710144928</v>
      </c>
    </row>
    <row r="56" customFormat="false" ht="15" hidden="false" customHeight="false" outlineLevel="0" collapsed="false">
      <c r="A56" s="6" t="s">
        <v>83</v>
      </c>
      <c r="B56" s="7" t="n">
        <v>20</v>
      </c>
      <c r="C56" s="8" t="n">
        <v>0.0892</v>
      </c>
      <c r="D56" s="8" t="n">
        <v>0.025</v>
      </c>
      <c r="E56" s="9" t="n">
        <v>1</v>
      </c>
      <c r="F56" s="7" t="n">
        <v>34</v>
      </c>
      <c r="G56" s="7" t="n">
        <v>7</v>
      </c>
      <c r="H56" s="7" t="n">
        <v>33</v>
      </c>
      <c r="I56" s="7" t="n">
        <v>14</v>
      </c>
      <c r="J56" s="7" t="n">
        <v>9</v>
      </c>
      <c r="K56" s="10" t="n">
        <f aca="false">IF(F56=0,"–",J56/F56*100)</f>
        <v>26.4705882352941</v>
      </c>
    </row>
    <row r="57" customFormat="false" ht="15" hidden="false" customHeight="false" outlineLevel="0" collapsed="false">
      <c r="A57" s="6" t="s">
        <v>84</v>
      </c>
      <c r="B57" s="7" t="n">
        <v>21</v>
      </c>
      <c r="C57" s="8" t="n">
        <v>0.0101</v>
      </c>
      <c r="D57" s="8" t="n">
        <v>0.324</v>
      </c>
      <c r="E57" s="9" t="n">
        <v>0</v>
      </c>
      <c r="F57" s="7" t="n">
        <v>88</v>
      </c>
      <c r="G57" s="7" t="n">
        <v>4</v>
      </c>
      <c r="H57" s="7" t="n">
        <v>89</v>
      </c>
      <c r="I57" s="7" t="n">
        <v>81</v>
      </c>
      <c r="J57" s="7" t="n">
        <v>8</v>
      </c>
      <c r="K57" s="10" t="n">
        <f aca="false">IF(F57=0,"–",J57/F57*100)</f>
        <v>9.09090909090909</v>
      </c>
    </row>
    <row r="58" customFormat="false" ht="15" hidden="false" customHeight="false" outlineLevel="0" collapsed="false">
      <c r="A58" s="6" t="s">
        <v>85</v>
      </c>
      <c r="B58" s="7" t="n">
        <v>13</v>
      </c>
      <c r="C58" s="8" t="n">
        <v>0.011</v>
      </c>
      <c r="D58" s="8" t="n">
        <v>0.279</v>
      </c>
      <c r="E58" s="9" t="n">
        <v>0</v>
      </c>
      <c r="F58" s="7" t="n">
        <v>53</v>
      </c>
      <c r="G58" s="7" t="n">
        <v>3</v>
      </c>
      <c r="H58" s="7" t="n">
        <v>54</v>
      </c>
      <c r="I58" s="7" t="n">
        <v>41</v>
      </c>
      <c r="J58" s="7" t="n">
        <v>5</v>
      </c>
      <c r="K58" s="10" t="n">
        <f aca="false">IF(F58=0,"–",J58/F58*100)</f>
        <v>9.43396226415094</v>
      </c>
    </row>
    <row r="59" customFormat="false" ht="15" hidden="false" customHeight="false" outlineLevel="0" collapsed="false">
      <c r="A59" s="6" t="s">
        <v>86</v>
      </c>
      <c r="B59" s="7" t="n">
        <v>67</v>
      </c>
      <c r="C59" s="8" t="n">
        <v>0.0442</v>
      </c>
      <c r="D59" s="8" t="n">
        <v>0.13</v>
      </c>
      <c r="E59" s="9" t="n">
        <v>0</v>
      </c>
      <c r="F59" s="7" t="n">
        <v>26</v>
      </c>
      <c r="G59" s="7" t="n">
        <v>7</v>
      </c>
      <c r="H59" s="7" t="n">
        <v>25</v>
      </c>
      <c r="I59" s="7" t="n">
        <v>9</v>
      </c>
      <c r="J59" s="7" t="n">
        <v>2</v>
      </c>
      <c r="K59" s="10" t="n">
        <f aca="false">IF(F59=0,"–",J59/F59*100)</f>
        <v>7.69230769230769</v>
      </c>
    </row>
    <row r="60" customFormat="false" ht="15" hidden="false" customHeight="false" outlineLevel="0" collapsed="false">
      <c r="A60" s="6" t="s">
        <v>87</v>
      </c>
      <c r="B60" s="7" t="n">
        <v>17</v>
      </c>
      <c r="C60" s="8" t="n">
        <v>0.0865</v>
      </c>
      <c r="D60" s="8" t="n">
        <v>0.029</v>
      </c>
      <c r="E60" s="9" t="n">
        <v>1</v>
      </c>
      <c r="F60" s="7" t="n">
        <v>37</v>
      </c>
      <c r="G60" s="7" t="n">
        <v>3</v>
      </c>
      <c r="H60" s="7" t="n">
        <v>37</v>
      </c>
      <c r="I60" s="7" t="n">
        <v>14</v>
      </c>
      <c r="J60" s="7" t="n">
        <v>6</v>
      </c>
      <c r="K60" s="10" t="n">
        <f aca="false">IF(F60=0,"–",J60/F60*100)</f>
        <v>16.2162162162162</v>
      </c>
    </row>
    <row r="61" customFormat="false" ht="15" hidden="false" customHeight="false" outlineLevel="0" collapsed="false">
      <c r="A61" s="6" t="s">
        <v>88</v>
      </c>
      <c r="B61" s="7" t="n">
        <v>30</v>
      </c>
      <c r="C61" s="8" t="n">
        <v>0.1495</v>
      </c>
      <c r="D61" s="8" t="n">
        <v>0.002</v>
      </c>
      <c r="E61" s="9" t="n">
        <v>1</v>
      </c>
      <c r="F61" s="7" t="n">
        <v>129</v>
      </c>
      <c r="G61" s="7" t="n">
        <v>6</v>
      </c>
      <c r="H61" s="7" t="n">
        <v>131</v>
      </c>
      <c r="I61" s="7" t="n">
        <v>127</v>
      </c>
      <c r="J61" s="7" t="n">
        <v>42</v>
      </c>
      <c r="K61" s="10" t="n">
        <f aca="false">IF(F61=0,"–",J61/F61*100)</f>
        <v>32.5581395348837</v>
      </c>
    </row>
    <row r="62" customFormat="false" ht="15" hidden="false" customHeight="false" outlineLevel="0" collapsed="false">
      <c r="A62" s="6" t="s">
        <v>89</v>
      </c>
      <c r="B62" s="7" t="n">
        <v>10</v>
      </c>
      <c r="C62" s="8" t="n">
        <v>0.1564</v>
      </c>
      <c r="D62" s="8" t="n">
        <v>0.009</v>
      </c>
      <c r="E62" s="9" t="n">
        <v>1</v>
      </c>
      <c r="F62" s="7" t="n">
        <v>23</v>
      </c>
      <c r="G62" s="7" t="n">
        <v>4</v>
      </c>
      <c r="H62" s="7" t="n">
        <v>24</v>
      </c>
      <c r="I62" s="7" t="n">
        <v>3</v>
      </c>
      <c r="J62" s="7" t="n">
        <v>3</v>
      </c>
      <c r="K62" s="10" t="n">
        <f aca="false">IF(F62=0,"–",J62/F62*100)</f>
        <v>13.0434782608696</v>
      </c>
    </row>
    <row r="63" customFormat="false" ht="15" hidden="false" customHeight="false" outlineLevel="0" collapsed="false">
      <c r="A63" s="6" t="s">
        <v>90</v>
      </c>
      <c r="B63" s="7" t="n">
        <v>10</v>
      </c>
      <c r="C63" s="8" t="n">
        <v>0.2294</v>
      </c>
      <c r="D63" s="8" t="n">
        <v>0.001</v>
      </c>
      <c r="E63" s="9" t="n">
        <v>1</v>
      </c>
      <c r="F63" s="7" t="n">
        <v>35</v>
      </c>
      <c r="G63" s="7" t="n">
        <v>6</v>
      </c>
      <c r="H63" s="7" t="n">
        <v>37</v>
      </c>
      <c r="I63" s="7" t="n">
        <v>27</v>
      </c>
      <c r="J63" s="7" t="n">
        <v>9</v>
      </c>
      <c r="K63" s="10" t="n">
        <f aca="false">IF(F63=0,"–",J63/F63*100)</f>
        <v>25.7142857142857</v>
      </c>
    </row>
    <row r="64" customFormat="false" ht="15" hidden="false" customHeight="false" outlineLevel="0" collapsed="false">
      <c r="A64" s="6" t="s">
        <v>91</v>
      </c>
      <c r="B64" s="7" t="n">
        <v>21</v>
      </c>
      <c r="C64" s="8" t="n">
        <v>0.1548</v>
      </c>
      <c r="D64" s="8" t="n">
        <v>0.003</v>
      </c>
      <c r="E64" s="9" t="n">
        <v>1</v>
      </c>
      <c r="F64" s="7" t="n">
        <v>24</v>
      </c>
      <c r="G64" s="7" t="n">
        <v>5</v>
      </c>
      <c r="H64" s="7" t="n">
        <v>24</v>
      </c>
      <c r="I64" s="7" t="n">
        <v>9</v>
      </c>
      <c r="J64" s="7" t="n">
        <v>6</v>
      </c>
      <c r="K64" s="10" t="n">
        <f aca="false">IF(F64=0,"–",J64/F64*100)</f>
        <v>25</v>
      </c>
    </row>
    <row r="65" customFormat="false" ht="15" hidden="false" customHeight="false" outlineLevel="0" collapsed="false">
      <c r="A65" s="6" t="s">
        <v>92</v>
      </c>
      <c r="B65" s="7" t="n">
        <v>25</v>
      </c>
      <c r="C65" s="8" t="n">
        <v>0.101</v>
      </c>
      <c r="D65" s="8" t="n">
        <v>0.015</v>
      </c>
      <c r="E65" s="9" t="n">
        <v>1</v>
      </c>
      <c r="F65" s="7" t="n">
        <v>23</v>
      </c>
      <c r="G65" s="7" t="n">
        <v>6</v>
      </c>
      <c r="H65" s="7" t="n">
        <v>24</v>
      </c>
      <c r="I65" s="7" t="n">
        <v>5</v>
      </c>
      <c r="J65" s="7" t="n">
        <v>8</v>
      </c>
      <c r="K65" s="10" t="n">
        <f aca="false">IF(F65=0,"–",J65/F65*100)</f>
        <v>34.7826086956522</v>
      </c>
    </row>
    <row r="66" customFormat="false" ht="15" hidden="false" customHeight="false" outlineLevel="0" collapsed="false">
      <c r="A66" s="6" t="s">
        <v>93</v>
      </c>
      <c r="B66" s="7" t="n">
        <v>11</v>
      </c>
      <c r="C66" s="8" t="n">
        <v>0.0015</v>
      </c>
      <c r="D66" s="8" t="n">
        <v>0.346</v>
      </c>
      <c r="E66" s="9" t="n">
        <v>0</v>
      </c>
      <c r="F66" s="7" t="n">
        <v>23</v>
      </c>
      <c r="G66" s="7" t="n">
        <v>2</v>
      </c>
      <c r="H66" s="7" t="n">
        <v>25</v>
      </c>
      <c r="I66" s="7" t="n">
        <v>5</v>
      </c>
      <c r="J66" s="7" t="n">
        <v>5</v>
      </c>
      <c r="K66" s="10" t="n">
        <f aca="false">IF(F66=0,"–",J66/F66*100)</f>
        <v>21.7391304347826</v>
      </c>
    </row>
    <row r="67" customFormat="false" ht="15" hidden="false" customHeight="false" outlineLevel="0" collapsed="false">
      <c r="A67" s="6" t="s">
        <v>95</v>
      </c>
      <c r="B67" s="7" t="n">
        <v>13</v>
      </c>
      <c r="C67" s="8" t="n">
        <v>0.0127</v>
      </c>
      <c r="D67" s="8" t="n">
        <v>0.294</v>
      </c>
      <c r="E67" s="9" t="n">
        <v>0</v>
      </c>
      <c r="F67" s="7" t="n">
        <v>87</v>
      </c>
      <c r="G67" s="7" t="n">
        <v>1</v>
      </c>
      <c r="H67" s="7" t="n">
        <v>88</v>
      </c>
      <c r="I67" s="7" t="n">
        <v>75</v>
      </c>
      <c r="J67" s="7" t="n">
        <v>2</v>
      </c>
      <c r="K67" s="10" t="n">
        <f aca="false">IF(F67=0,"–",J67/F67*100)</f>
        <v>2.29885057471264</v>
      </c>
    </row>
    <row r="68" customFormat="false" ht="15" hidden="false" customHeight="false" outlineLevel="0" collapsed="false">
      <c r="A68" s="6" t="s">
        <v>96</v>
      </c>
      <c r="B68" s="7" t="n">
        <v>17</v>
      </c>
      <c r="C68" s="8" t="n">
        <v>-0.0206</v>
      </c>
      <c r="D68" s="8" t="n">
        <v>0.381</v>
      </c>
      <c r="E68" s="9" t="n">
        <v>0</v>
      </c>
      <c r="F68" s="7" t="n">
        <v>58</v>
      </c>
      <c r="G68" s="7" t="n">
        <v>0</v>
      </c>
      <c r="H68" s="7" t="n">
        <v>59</v>
      </c>
      <c r="I68" s="7" t="n">
        <v>48</v>
      </c>
      <c r="J68" s="7" t="n">
        <v>2</v>
      </c>
      <c r="K68" s="10" t="n">
        <f aca="false">IF(F68=0,"–",J68/F68*100)</f>
        <v>3.44827586206897</v>
      </c>
    </row>
    <row r="69" customFormat="false" ht="15" hidden="false" customHeight="false" outlineLevel="0" collapsed="false">
      <c r="A69" s="6" t="s">
        <v>97</v>
      </c>
      <c r="B69" s="7" t="n">
        <v>15</v>
      </c>
      <c r="C69" s="8" t="n">
        <v>-0.0036</v>
      </c>
      <c r="D69" s="8" t="n">
        <v>0.427</v>
      </c>
      <c r="E69" s="9" t="n">
        <v>0</v>
      </c>
      <c r="F69" s="7" t="n">
        <v>36</v>
      </c>
      <c r="G69" s="7" t="n">
        <v>0</v>
      </c>
      <c r="H69" s="7" t="n">
        <v>38</v>
      </c>
      <c r="I69" s="7" t="n">
        <v>29</v>
      </c>
      <c r="J69" s="7" t="n">
        <v>9</v>
      </c>
      <c r="K69" s="10" t="n">
        <f aca="false">IF(F69=0,"–",J69/F69*100)</f>
        <v>25</v>
      </c>
    </row>
    <row r="70" customFormat="false" ht="15" hidden="false" customHeight="false" outlineLevel="0" collapsed="false">
      <c r="A70" s="6" t="s">
        <v>98</v>
      </c>
      <c r="B70" s="7" t="n">
        <v>26</v>
      </c>
      <c r="C70" s="8" t="n">
        <v>-0.029</v>
      </c>
      <c r="D70" s="8" t="n">
        <v>0.306</v>
      </c>
      <c r="E70" s="9" t="n">
        <v>0</v>
      </c>
      <c r="F70" s="7" t="n">
        <v>96</v>
      </c>
      <c r="G70" s="7" t="n">
        <v>3</v>
      </c>
      <c r="H70" s="7" t="n">
        <v>98</v>
      </c>
      <c r="I70" s="7" t="n">
        <v>86</v>
      </c>
      <c r="J70" s="7" t="n">
        <v>9</v>
      </c>
      <c r="K70" s="10" t="n">
        <f aca="false">IF(F70=0,"–",J70/F70*100)</f>
        <v>9.375</v>
      </c>
    </row>
    <row r="71" customFormat="false" ht="15" hidden="false" customHeight="false" outlineLevel="0" collapsed="false">
      <c r="A71" s="6" t="s">
        <v>99</v>
      </c>
      <c r="B71" s="7" t="n">
        <v>15</v>
      </c>
      <c r="C71" s="8" t="n">
        <v>0.027</v>
      </c>
      <c r="D71" s="8" t="n">
        <v>0.238</v>
      </c>
      <c r="E71" s="9" t="n">
        <v>0</v>
      </c>
      <c r="F71" s="7" t="n">
        <v>55</v>
      </c>
      <c r="G71" s="7" t="n">
        <v>2</v>
      </c>
      <c r="H71" s="7" t="n">
        <v>56</v>
      </c>
      <c r="I71" s="7" t="n">
        <v>44</v>
      </c>
      <c r="J71" s="7" t="n">
        <v>2</v>
      </c>
      <c r="K71" s="10" t="n">
        <f aca="false">IF(F71=0,"–",J71/F71*100)</f>
        <v>3.63636363636364</v>
      </c>
    </row>
    <row r="72" customFormat="false" ht="15" hidden="false" customHeight="false" outlineLevel="0" collapsed="false">
      <c r="A72" s="6" t="s">
        <v>100</v>
      </c>
      <c r="B72" s="7" t="n">
        <v>11</v>
      </c>
      <c r="C72" s="8" t="n">
        <v>-0.0138</v>
      </c>
      <c r="D72" s="8" t="n">
        <v>0.485</v>
      </c>
      <c r="E72" s="9" t="n">
        <v>0</v>
      </c>
      <c r="F72" s="7" t="n">
        <v>24</v>
      </c>
      <c r="G72" s="7" t="n">
        <v>1</v>
      </c>
      <c r="H72" s="7" t="n">
        <v>25</v>
      </c>
      <c r="I72" s="7" t="n">
        <v>6</v>
      </c>
      <c r="J72" s="7" t="n">
        <v>4</v>
      </c>
      <c r="K72" s="10" t="n">
        <f aca="false">IF(F72=0,"–",J72/F72*100)</f>
        <v>16.6666666666667</v>
      </c>
    </row>
    <row r="73" customFormat="false" ht="15" hidden="false" customHeight="false" outlineLevel="0" collapsed="false">
      <c r="A73" s="6" t="s">
        <v>103</v>
      </c>
      <c r="B73" s="7" t="n">
        <v>19</v>
      </c>
      <c r="C73" s="8" t="n">
        <v>0.056</v>
      </c>
      <c r="D73" s="8" t="n">
        <v>0.076</v>
      </c>
      <c r="E73" s="9" t="n">
        <v>0</v>
      </c>
      <c r="F73" s="7" t="n">
        <v>27</v>
      </c>
      <c r="G73" s="7" t="n">
        <v>4</v>
      </c>
      <c r="H73" s="7" t="n">
        <v>29</v>
      </c>
      <c r="I73" s="7" t="n">
        <v>13</v>
      </c>
      <c r="J73" s="7" t="n">
        <v>8</v>
      </c>
      <c r="K73" s="10" t="n">
        <f aca="false">IF(F73=0,"–",J73/F73*100)</f>
        <v>29.6296296296296</v>
      </c>
    </row>
    <row r="74" customFormat="false" ht="15" hidden="false" customHeight="false" outlineLevel="0" collapsed="false">
      <c r="A74" s="6" t="s">
        <v>105</v>
      </c>
      <c r="B74" s="7" t="n">
        <v>22</v>
      </c>
      <c r="C74" s="8" t="n">
        <v>0.2159</v>
      </c>
      <c r="D74" s="8" t="n">
        <v>0.001</v>
      </c>
      <c r="E74" s="9" t="n">
        <v>1</v>
      </c>
      <c r="F74" s="7" t="n">
        <v>127</v>
      </c>
      <c r="G74" s="7" t="n">
        <v>5</v>
      </c>
      <c r="H74" s="7" t="n">
        <v>130</v>
      </c>
      <c r="I74" s="7" t="n">
        <v>125</v>
      </c>
      <c r="J74" s="7" t="n">
        <v>13</v>
      </c>
      <c r="K74" s="10" t="n">
        <f aca="false">IF(F74=0,"–",J74/F74*100)</f>
        <v>10.2362204724409</v>
      </c>
    </row>
    <row r="75" customFormat="false" ht="15" hidden="false" customHeight="false" outlineLevel="0" collapsed="false">
      <c r="A75" s="6" t="s">
        <v>106</v>
      </c>
      <c r="B75" s="7" t="n">
        <v>22</v>
      </c>
      <c r="C75" s="8" t="n">
        <v>-0.0934</v>
      </c>
      <c r="D75" s="8" t="n">
        <v>0.001</v>
      </c>
      <c r="E75" s="9" t="n">
        <v>1</v>
      </c>
      <c r="F75" s="7" t="n">
        <v>42</v>
      </c>
      <c r="G75" s="7" t="n">
        <v>0</v>
      </c>
      <c r="H75" s="7" t="n">
        <v>41</v>
      </c>
      <c r="I75" s="7" t="n">
        <v>31</v>
      </c>
      <c r="J75" s="7" t="n">
        <v>3</v>
      </c>
      <c r="K75" s="10" t="n">
        <f aca="false">IF(F75=0,"–",J75/F75*100)</f>
        <v>7.14285714285714</v>
      </c>
    </row>
    <row r="76" customFormat="false" ht="15" hidden="false" customHeight="false" outlineLevel="0" collapsed="false">
      <c r="A76" s="6" t="s">
        <v>107</v>
      </c>
      <c r="B76" s="7" t="n">
        <v>32</v>
      </c>
      <c r="C76" s="8" t="n">
        <v>0.0471</v>
      </c>
      <c r="D76" s="8" t="n">
        <v>0.122</v>
      </c>
      <c r="E76" s="9" t="n">
        <v>0</v>
      </c>
      <c r="F76" s="7" t="n">
        <v>21</v>
      </c>
      <c r="G76" s="7" t="n">
        <v>6</v>
      </c>
      <c r="H76" s="7" t="n">
        <v>22</v>
      </c>
      <c r="I76" s="7" t="n">
        <v>5</v>
      </c>
      <c r="J76" s="7" t="n">
        <v>6</v>
      </c>
      <c r="K76" s="10" t="n">
        <f aca="false">IF(F76=0,"–",J76/F76*100)</f>
        <v>28.5714285714286</v>
      </c>
    </row>
    <row r="77" customFormat="false" ht="15" hidden="false" customHeight="false" outlineLevel="0" collapsed="false">
      <c r="A77" s="6" t="s">
        <v>110</v>
      </c>
      <c r="B77" s="7" t="n">
        <v>39</v>
      </c>
      <c r="C77" s="8" t="n">
        <v>-0.028</v>
      </c>
      <c r="D77" s="8" t="n">
        <v>0.295</v>
      </c>
      <c r="E77" s="9" t="n">
        <v>0</v>
      </c>
      <c r="F77" s="7" t="n">
        <v>28</v>
      </c>
      <c r="G77" s="7" t="n">
        <v>2</v>
      </c>
      <c r="H77" s="7" t="n">
        <v>26</v>
      </c>
      <c r="I77" s="7" t="n">
        <v>8</v>
      </c>
      <c r="J77" s="7" t="n">
        <v>6</v>
      </c>
      <c r="K77" s="10" t="n">
        <f aca="false">IF(F77=0,"–",J77/F77*100)</f>
        <v>21.4285714285714</v>
      </c>
    </row>
    <row r="78" customFormat="false" ht="15" hidden="false" customHeight="false" outlineLevel="0" collapsed="false">
      <c r="A78" s="6" t="s">
        <v>111</v>
      </c>
      <c r="B78" s="7" t="n">
        <v>17</v>
      </c>
      <c r="C78" s="8" t="n">
        <v>-0.0219</v>
      </c>
      <c r="D78" s="8" t="n">
        <v>0.37</v>
      </c>
      <c r="E78" s="9" t="n">
        <v>0</v>
      </c>
      <c r="F78" s="7" t="n">
        <v>140</v>
      </c>
      <c r="G78" s="7" t="n">
        <v>1</v>
      </c>
      <c r="H78" s="7" t="n">
        <v>143</v>
      </c>
      <c r="I78" s="7" t="n">
        <v>139</v>
      </c>
      <c r="J78" s="7" t="n">
        <v>31</v>
      </c>
      <c r="K78" s="10" t="n">
        <f aca="false">IF(F78=0,"–",J78/F78*100)</f>
        <v>22.1428571428571</v>
      </c>
    </row>
    <row r="79" customFormat="false" ht="15" hidden="false" customHeight="false" outlineLevel="0" collapsed="false">
      <c r="A79" s="6" t="s">
        <v>118</v>
      </c>
      <c r="B79" s="7" t="n">
        <v>13</v>
      </c>
      <c r="C79" s="8" t="n">
        <v>0.1004</v>
      </c>
      <c r="D79" s="8" t="n">
        <v>0.021</v>
      </c>
      <c r="E79" s="9" t="n">
        <v>1</v>
      </c>
      <c r="F79" s="7" t="n">
        <v>76</v>
      </c>
      <c r="G79" s="7" t="n">
        <v>4</v>
      </c>
      <c r="H79" s="7" t="n">
        <v>75</v>
      </c>
      <c r="I79" s="7" t="n">
        <v>62</v>
      </c>
      <c r="J79" s="7" t="n">
        <v>5</v>
      </c>
      <c r="K79" s="10" t="n">
        <f aca="false">IF(F79=0,"–",J79/F79*100)</f>
        <v>6.57894736842105</v>
      </c>
    </row>
    <row r="80" customFormat="false" ht="15" hidden="false" customHeight="false" outlineLevel="0" collapsed="false">
      <c r="A80" s="6" t="s">
        <v>123</v>
      </c>
      <c r="B80" s="7" t="n">
        <v>26</v>
      </c>
      <c r="C80" s="8" t="n">
        <v>0.0937</v>
      </c>
      <c r="D80" s="8" t="n">
        <v>0.02</v>
      </c>
      <c r="E80" s="9" t="n">
        <v>1</v>
      </c>
      <c r="F80" s="7" t="n">
        <v>51</v>
      </c>
      <c r="G80" s="7" t="n">
        <v>5</v>
      </c>
      <c r="H80" s="7" t="n">
        <v>52</v>
      </c>
      <c r="I80" s="7" t="n">
        <v>40</v>
      </c>
      <c r="J80" s="7" t="n">
        <v>6</v>
      </c>
      <c r="K80" s="10" t="n">
        <f aca="false">IF(F80=0,"–",J80/F80*100)</f>
        <v>11.7647058823529</v>
      </c>
    </row>
    <row r="81" customFormat="false" ht="15" hidden="false" customHeight="false" outlineLevel="0" collapsed="false">
      <c r="A81" s="6" t="s">
        <v>124</v>
      </c>
      <c r="B81" s="7" t="n">
        <v>10</v>
      </c>
      <c r="C81" s="8" t="n">
        <v>-0.0439</v>
      </c>
      <c r="D81" s="8" t="n">
        <v>0.016</v>
      </c>
      <c r="E81" s="9" t="n">
        <v>1</v>
      </c>
      <c r="F81" s="7" t="n">
        <v>44</v>
      </c>
      <c r="G81" s="7" t="n">
        <v>0</v>
      </c>
      <c r="H81" s="7" t="n">
        <v>45</v>
      </c>
      <c r="I81" s="7" t="n">
        <v>27</v>
      </c>
      <c r="J81" s="7" t="n">
        <v>5</v>
      </c>
      <c r="K81" s="10" t="n">
        <f aca="false">IF(F81=0,"–",J81/F81*100)</f>
        <v>11.3636363636364</v>
      </c>
    </row>
    <row r="82" customFormat="false" ht="15" hidden="false" customHeight="false" outlineLevel="0" collapsed="false">
      <c r="A82" s="6" t="s">
        <v>125</v>
      </c>
      <c r="B82" s="7" t="n">
        <v>37</v>
      </c>
      <c r="C82" s="8" t="n">
        <v>0.1106</v>
      </c>
      <c r="D82" s="8" t="n">
        <v>0.007</v>
      </c>
      <c r="E82" s="9" t="n">
        <v>1</v>
      </c>
      <c r="F82" s="7" t="n">
        <v>50</v>
      </c>
      <c r="G82" s="7" t="n">
        <v>7</v>
      </c>
      <c r="H82" s="7" t="n">
        <v>50</v>
      </c>
      <c r="I82" s="7" t="n">
        <v>41</v>
      </c>
      <c r="J82" s="7" t="n">
        <v>6</v>
      </c>
      <c r="K82" s="10" t="n">
        <f aca="false">IF(F82=0,"–",J82/F82*100)</f>
        <v>12</v>
      </c>
    </row>
    <row r="83" customFormat="false" ht="15" hidden="false" customHeight="false" outlineLevel="0" collapsed="false">
      <c r="A83" s="6" t="s">
        <v>126</v>
      </c>
      <c r="B83" s="7" t="n">
        <v>18</v>
      </c>
      <c r="C83" s="8" t="n">
        <v>-0.0547</v>
      </c>
      <c r="D83" s="8" t="n">
        <v>0.054</v>
      </c>
      <c r="E83" s="9" t="n">
        <v>0</v>
      </c>
      <c r="F83" s="7" t="n">
        <v>31</v>
      </c>
      <c r="G83" s="7" t="n">
        <v>0</v>
      </c>
      <c r="H83" s="7" t="n">
        <v>32</v>
      </c>
      <c r="I83" s="7" t="n">
        <v>9</v>
      </c>
      <c r="J83" s="7" t="n">
        <v>2</v>
      </c>
      <c r="K83" s="10" t="n">
        <f aca="false">IF(F83=0,"–",J83/F83*100)</f>
        <v>6.45161290322581</v>
      </c>
    </row>
    <row r="84" customFormat="false" ht="15" hidden="false" customHeight="false" outlineLevel="0" collapsed="false">
      <c r="A84" s="6" t="s">
        <v>127</v>
      </c>
      <c r="B84" s="7" t="n">
        <v>14</v>
      </c>
      <c r="C84" s="8" t="n">
        <v>0.1017</v>
      </c>
      <c r="D84" s="8" t="n">
        <v>0.02</v>
      </c>
      <c r="E84" s="9" t="n">
        <v>1</v>
      </c>
      <c r="F84" s="7" t="n">
        <v>93</v>
      </c>
      <c r="G84" s="7" t="n">
        <v>3</v>
      </c>
      <c r="H84" s="7" t="n">
        <v>91</v>
      </c>
      <c r="I84" s="7" t="n">
        <v>82</v>
      </c>
      <c r="J84" s="7" t="n">
        <v>5</v>
      </c>
      <c r="K84" s="10" t="n">
        <f aca="false">IF(F84=0,"–",J84/F84*100)</f>
        <v>5.37634408602151</v>
      </c>
    </row>
    <row r="85" customFormat="false" ht="15" hidden="false" customHeight="false" outlineLevel="0" collapsed="false">
      <c r="A85" s="6" t="s">
        <v>128</v>
      </c>
      <c r="B85" s="7" t="n">
        <v>47</v>
      </c>
      <c r="C85" s="8" t="n">
        <v>-0.0589</v>
      </c>
      <c r="D85" s="8" t="n">
        <v>0.096</v>
      </c>
      <c r="E85" s="9" t="n">
        <v>0</v>
      </c>
      <c r="F85" s="7" t="n">
        <v>23</v>
      </c>
      <c r="G85" s="7" t="n">
        <v>1</v>
      </c>
      <c r="H85" s="7" t="n">
        <v>23</v>
      </c>
      <c r="I85" s="7" t="n">
        <v>6</v>
      </c>
      <c r="J85" s="7" t="n">
        <v>2</v>
      </c>
      <c r="K85" s="10" t="n">
        <f aca="false">IF(F85=0,"–",J85/F85*100)</f>
        <v>8.69565217391304</v>
      </c>
    </row>
    <row r="86" customFormat="false" ht="15" hidden="false" customHeight="false" outlineLevel="0" collapsed="false">
      <c r="A86" s="6" t="s">
        <v>129</v>
      </c>
      <c r="B86" s="7" t="n">
        <v>17</v>
      </c>
      <c r="C86" s="8" t="n">
        <v>-0.0021</v>
      </c>
      <c r="D86" s="8" t="n">
        <v>0.407</v>
      </c>
      <c r="E86" s="9" t="n">
        <v>0</v>
      </c>
      <c r="F86" s="7" t="n">
        <v>29</v>
      </c>
      <c r="G86" s="7" t="n">
        <v>1</v>
      </c>
      <c r="H86" s="7" t="n">
        <v>30</v>
      </c>
      <c r="I86" s="7" t="n">
        <v>16</v>
      </c>
      <c r="J86" s="7" t="n">
        <v>8</v>
      </c>
      <c r="K86" s="10" t="n">
        <f aca="false">IF(F86=0,"–",J86/F86*100)</f>
        <v>27.5862068965517</v>
      </c>
    </row>
    <row r="87" customFormat="false" ht="15" hidden="false" customHeight="false" outlineLevel="0" collapsed="false">
      <c r="A87" s="6" t="s">
        <v>130</v>
      </c>
      <c r="B87" s="7" t="n">
        <v>22</v>
      </c>
      <c r="C87" s="8" t="n">
        <v>-0.1183</v>
      </c>
      <c r="D87" s="8" t="n">
        <v>0.001</v>
      </c>
      <c r="E87" s="9" t="n">
        <v>1</v>
      </c>
      <c r="F87" s="7" t="n">
        <v>53</v>
      </c>
      <c r="G87" s="7" t="n">
        <v>0</v>
      </c>
      <c r="H87" s="7" t="n">
        <v>53</v>
      </c>
      <c r="I87" s="7" t="n">
        <v>35</v>
      </c>
      <c r="J87" s="7" t="n">
        <v>2</v>
      </c>
      <c r="K87" s="10" t="n">
        <f aca="false">IF(F87=0,"–",J87/F87*100)</f>
        <v>3.77358490566038</v>
      </c>
    </row>
    <row r="88" customFormat="false" ht="15" hidden="false" customHeight="false" outlineLevel="0" collapsed="false">
      <c r="A88" s="6" t="s">
        <v>131</v>
      </c>
      <c r="B88" s="7" t="n">
        <v>14</v>
      </c>
      <c r="C88" s="8" t="n">
        <v>-0.0327</v>
      </c>
      <c r="D88" s="8" t="n">
        <v>0.252</v>
      </c>
      <c r="E88" s="9" t="n">
        <v>0</v>
      </c>
      <c r="F88" s="7" t="n">
        <v>132</v>
      </c>
      <c r="G88" s="7" t="n">
        <v>1</v>
      </c>
      <c r="H88" s="7" t="n">
        <v>132</v>
      </c>
      <c r="I88" s="7" t="n">
        <v>128</v>
      </c>
      <c r="J88" s="7" t="n">
        <v>9</v>
      </c>
      <c r="K88" s="10" t="n">
        <f aca="false">IF(F88=0,"–",J88/F88*100)</f>
        <v>6.81818181818182</v>
      </c>
    </row>
    <row r="89" customFormat="false" ht="15" hidden="false" customHeight="false" outlineLevel="0" collapsed="false">
      <c r="A89" s="6" t="s">
        <v>137</v>
      </c>
      <c r="B89" s="7" t="n">
        <v>24</v>
      </c>
      <c r="C89" s="8" t="n">
        <v>0.0278</v>
      </c>
      <c r="D89" s="8" t="n">
        <v>0.2</v>
      </c>
      <c r="E89" s="9" t="n">
        <v>0</v>
      </c>
      <c r="F89" s="7" t="n">
        <v>120</v>
      </c>
      <c r="G89" s="7" t="n">
        <v>6</v>
      </c>
      <c r="H89" s="7" t="n">
        <v>121</v>
      </c>
      <c r="I89" s="7" t="n">
        <v>112</v>
      </c>
      <c r="J89" s="7" t="n">
        <v>14</v>
      </c>
      <c r="K89" s="10" t="n">
        <f aca="false">IF(F89=0,"–",J89/F89*100)</f>
        <v>11.6666666666667</v>
      </c>
    </row>
    <row r="90" customFormat="false" ht="15" hidden="false" customHeight="false" outlineLevel="0" collapsed="false">
      <c r="A90" s="11" t="s">
        <v>139</v>
      </c>
      <c r="F90" s="12" t="n">
        <f aca="false">SUM(F3:F89)</f>
        <v>5065</v>
      </c>
      <c r="G90" s="12" t="n">
        <f aca="false">SUM(G3:G89)</f>
        <v>256</v>
      </c>
      <c r="H90" s="12" t="n">
        <f aca="false">SUM(H3:H89)</f>
        <v>5118</v>
      </c>
      <c r="I90" s="12" t="n">
        <f aca="false">SUM(I3:I89)</f>
        <v>3870</v>
      </c>
      <c r="J90" s="12" t="n">
        <f aca="false">SUM(J3:J89)</f>
        <v>726</v>
      </c>
      <c r="K90" s="13" t="n">
        <f aca="false">J90/F90*100</f>
        <v>14.3336623889437</v>
      </c>
    </row>
    <row r="92" customFormat="false" ht="15" hidden="false" customHeight="false" outlineLevel="0" collapsed="false">
      <c r="A92" s="14" t="s">
        <v>6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</row>
  </sheetData>
  <autoFilter ref="A2:K89"/>
  <mergeCells count="2">
    <mergeCell ref="A1:K1"/>
    <mergeCell ref="A92:K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46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1"/>
  </cols>
  <sheetData>
    <row r="1" customFormat="false" ht="21.75" hidden="false" customHeight="true" outlineLevel="0" collapsed="false">
      <c r="A1" s="4" t="s">
        <v>141</v>
      </c>
      <c r="B1" s="4"/>
      <c r="C1" s="4"/>
      <c r="D1" s="4"/>
      <c r="E1" s="4"/>
      <c r="F1" s="4"/>
      <c r="G1" s="4"/>
    </row>
    <row r="2" customFormat="false" ht="30" hidden="false" customHeight="true" outlineLevel="0" collapsed="false">
      <c r="A2" s="5" t="s">
        <v>142</v>
      </c>
      <c r="B2" s="5" t="s">
        <v>143</v>
      </c>
      <c r="C2" s="5" t="s">
        <v>144</v>
      </c>
      <c r="D2" s="5" t="s">
        <v>145</v>
      </c>
      <c r="E2" s="5" t="s">
        <v>146</v>
      </c>
      <c r="F2" s="5" t="s">
        <v>14</v>
      </c>
      <c r="G2" s="5" t="s">
        <v>147</v>
      </c>
    </row>
    <row r="3" customFormat="false" ht="15" hidden="false" customHeight="false" outlineLevel="0" collapsed="false">
      <c r="A3" s="9" t="n">
        <v>1</v>
      </c>
      <c r="B3" s="6" t="s">
        <v>41</v>
      </c>
      <c r="C3" s="6" t="s">
        <v>115</v>
      </c>
      <c r="D3" s="8" t="n">
        <v>0.4309</v>
      </c>
      <c r="E3" s="8" t="n">
        <v>0.0001</v>
      </c>
      <c r="F3" s="7" t="n">
        <v>49</v>
      </c>
      <c r="G3" s="7" t="n">
        <v>65</v>
      </c>
    </row>
    <row r="4" customFormat="false" ht="15" hidden="false" customHeight="false" outlineLevel="0" collapsed="false">
      <c r="A4" s="9" t="n">
        <v>2</v>
      </c>
      <c r="B4" s="6" t="s">
        <v>115</v>
      </c>
      <c r="C4" s="6" t="s">
        <v>41</v>
      </c>
      <c r="D4" s="8" t="n">
        <v>0.3952</v>
      </c>
      <c r="E4" s="8" t="n">
        <v>0.0001</v>
      </c>
      <c r="F4" s="7" t="n">
        <v>36</v>
      </c>
      <c r="G4" s="7" t="n">
        <v>65</v>
      </c>
    </row>
    <row r="5" customFormat="false" ht="15" hidden="false" customHeight="false" outlineLevel="0" collapsed="false">
      <c r="A5" s="9" t="n">
        <v>3</v>
      </c>
      <c r="B5" s="6" t="s">
        <v>35</v>
      </c>
      <c r="C5" s="6" t="s">
        <v>22</v>
      </c>
      <c r="D5" s="8" t="n">
        <v>0.3605</v>
      </c>
      <c r="E5" s="8" t="n">
        <v>0.0001</v>
      </c>
      <c r="F5" s="7" t="n">
        <v>19</v>
      </c>
      <c r="G5" s="7" t="n">
        <v>31</v>
      </c>
    </row>
    <row r="6" customFormat="false" ht="15" hidden="false" customHeight="false" outlineLevel="0" collapsed="false">
      <c r="A6" s="9" t="n">
        <v>4</v>
      </c>
      <c r="B6" s="6" t="s">
        <v>22</v>
      </c>
      <c r="C6" s="6" t="s">
        <v>35</v>
      </c>
      <c r="D6" s="8" t="n">
        <v>0.3571</v>
      </c>
      <c r="E6" s="8" t="n">
        <v>0.0001</v>
      </c>
      <c r="F6" s="7" t="n">
        <v>23</v>
      </c>
      <c r="G6" s="7" t="n">
        <v>31</v>
      </c>
    </row>
    <row r="7" customFormat="false" ht="15" hidden="false" customHeight="false" outlineLevel="0" collapsed="false">
      <c r="A7" s="9" t="n">
        <v>5</v>
      </c>
      <c r="B7" s="6" t="s">
        <v>132</v>
      </c>
      <c r="C7" s="6" t="s">
        <v>148</v>
      </c>
      <c r="D7" s="8" t="n">
        <v>0.3317</v>
      </c>
      <c r="E7" s="8" t="n">
        <v>0.0001</v>
      </c>
      <c r="F7" s="7" t="n">
        <v>7</v>
      </c>
      <c r="G7" s="7" t="n">
        <v>6</v>
      </c>
    </row>
    <row r="8" customFormat="false" ht="15" hidden="false" customHeight="false" outlineLevel="0" collapsed="false">
      <c r="A8" s="9" t="n">
        <v>6</v>
      </c>
      <c r="B8" s="6" t="s">
        <v>35</v>
      </c>
      <c r="C8" s="6" t="s">
        <v>119</v>
      </c>
      <c r="D8" s="8" t="n">
        <v>0.3263</v>
      </c>
      <c r="E8" s="8" t="n">
        <v>0.0001</v>
      </c>
      <c r="F8" s="7" t="n">
        <v>17</v>
      </c>
      <c r="G8" s="7" t="n">
        <v>29</v>
      </c>
    </row>
    <row r="9" customFormat="false" ht="15" hidden="false" customHeight="false" outlineLevel="0" collapsed="false">
      <c r="A9" s="9" t="n">
        <v>7</v>
      </c>
      <c r="B9" s="6" t="s">
        <v>90</v>
      </c>
      <c r="C9" s="6" t="s">
        <v>132</v>
      </c>
      <c r="D9" s="8" t="n">
        <v>0.3226</v>
      </c>
      <c r="E9" s="8" t="n">
        <v>0.0001</v>
      </c>
      <c r="F9" s="7" t="n">
        <v>8</v>
      </c>
      <c r="G9" s="7" t="n">
        <v>8</v>
      </c>
    </row>
    <row r="10" customFormat="false" ht="15" hidden="false" customHeight="false" outlineLevel="0" collapsed="false">
      <c r="A10" s="9" t="n">
        <v>8</v>
      </c>
      <c r="B10" s="6" t="s">
        <v>132</v>
      </c>
      <c r="C10" s="6" t="s">
        <v>90</v>
      </c>
      <c r="D10" s="8" t="n">
        <v>0.3123</v>
      </c>
      <c r="E10" s="8" t="n">
        <v>0.0001</v>
      </c>
      <c r="F10" s="7" t="n">
        <v>7</v>
      </c>
      <c r="G10" s="7" t="n">
        <v>8</v>
      </c>
    </row>
    <row r="11" customFormat="false" ht="15" hidden="false" customHeight="false" outlineLevel="0" collapsed="false">
      <c r="A11" s="9" t="n">
        <v>9</v>
      </c>
      <c r="B11" s="6" t="s">
        <v>119</v>
      </c>
      <c r="C11" s="6" t="s">
        <v>35</v>
      </c>
      <c r="D11" s="8" t="n">
        <v>0.3069</v>
      </c>
      <c r="E11" s="8" t="n">
        <v>0.0001</v>
      </c>
      <c r="F11" s="7" t="n">
        <v>11</v>
      </c>
      <c r="G11" s="7" t="n">
        <v>29</v>
      </c>
    </row>
    <row r="12" customFormat="false" ht="15" hidden="false" customHeight="false" outlineLevel="0" collapsed="false">
      <c r="A12" s="9" t="n">
        <v>10</v>
      </c>
      <c r="B12" s="6" t="s">
        <v>91</v>
      </c>
      <c r="C12" s="6" t="s">
        <v>132</v>
      </c>
      <c r="D12" s="8" t="n">
        <v>0.3036</v>
      </c>
      <c r="E12" s="8" t="n">
        <v>0.0001</v>
      </c>
      <c r="F12" s="7" t="n">
        <v>10</v>
      </c>
      <c r="G12" s="7" t="n">
        <v>14</v>
      </c>
    </row>
    <row r="13" customFormat="false" ht="15" hidden="false" customHeight="false" outlineLevel="0" collapsed="false">
      <c r="A13" s="9" t="n">
        <v>11</v>
      </c>
      <c r="B13" s="6" t="s">
        <v>121</v>
      </c>
      <c r="C13" s="6" t="s">
        <v>115</v>
      </c>
      <c r="D13" s="8" t="n">
        <v>0.2903</v>
      </c>
      <c r="E13" s="8" t="n">
        <v>0.0001</v>
      </c>
      <c r="F13" s="7" t="n">
        <v>58</v>
      </c>
      <c r="G13" s="7" t="n">
        <v>106</v>
      </c>
    </row>
    <row r="14" customFormat="false" ht="15" hidden="false" customHeight="false" outlineLevel="0" collapsed="false">
      <c r="A14" s="9" t="n">
        <v>12</v>
      </c>
      <c r="B14" s="6" t="s">
        <v>134</v>
      </c>
      <c r="C14" s="6" t="s">
        <v>35</v>
      </c>
      <c r="D14" s="8" t="n">
        <v>0.2899</v>
      </c>
      <c r="E14" s="8" t="n">
        <v>0.0001</v>
      </c>
      <c r="F14" s="7" t="n">
        <v>12</v>
      </c>
      <c r="G14" s="7" t="n">
        <v>14</v>
      </c>
    </row>
    <row r="15" customFormat="false" ht="15" hidden="false" customHeight="false" outlineLevel="0" collapsed="false">
      <c r="A15" s="9" t="n">
        <v>13</v>
      </c>
      <c r="B15" s="6" t="s">
        <v>134</v>
      </c>
      <c r="C15" s="6" t="s">
        <v>22</v>
      </c>
      <c r="D15" s="8" t="n">
        <v>0.2872</v>
      </c>
      <c r="E15" s="8" t="n">
        <v>0.0001</v>
      </c>
      <c r="F15" s="7" t="n">
        <v>15</v>
      </c>
      <c r="G15" s="7" t="n">
        <v>23</v>
      </c>
    </row>
    <row r="16" customFormat="false" ht="15" hidden="false" customHeight="false" outlineLevel="0" collapsed="false">
      <c r="A16" s="9" t="n">
        <v>14</v>
      </c>
      <c r="B16" s="6" t="s">
        <v>35</v>
      </c>
      <c r="C16" s="6" t="s">
        <v>134</v>
      </c>
      <c r="D16" s="8" t="n">
        <v>0.2855</v>
      </c>
      <c r="E16" s="8" t="n">
        <v>0.0001</v>
      </c>
      <c r="F16" s="7" t="n">
        <v>15</v>
      </c>
      <c r="G16" s="7" t="n">
        <v>14</v>
      </c>
    </row>
    <row r="17" customFormat="false" ht="15" hidden="false" customHeight="false" outlineLevel="0" collapsed="false">
      <c r="A17" s="9" t="n">
        <v>15</v>
      </c>
      <c r="B17" s="6" t="s">
        <v>115</v>
      </c>
      <c r="C17" s="6" t="s">
        <v>121</v>
      </c>
      <c r="D17" s="8" t="n">
        <v>0.2812</v>
      </c>
      <c r="E17" s="8" t="n">
        <v>0.0001</v>
      </c>
      <c r="F17" s="7" t="n">
        <v>42</v>
      </c>
      <c r="G17" s="7" t="n">
        <v>106</v>
      </c>
    </row>
    <row r="18" customFormat="false" ht="15" hidden="false" customHeight="false" outlineLevel="0" collapsed="false">
      <c r="A18" s="9" t="n">
        <v>16</v>
      </c>
      <c r="B18" s="6" t="s">
        <v>22</v>
      </c>
      <c r="C18" s="6" t="s">
        <v>119</v>
      </c>
      <c r="D18" s="8" t="n">
        <v>0.2805</v>
      </c>
      <c r="E18" s="8" t="n">
        <v>0.0001</v>
      </c>
      <c r="F18" s="7" t="n">
        <v>20</v>
      </c>
      <c r="G18" s="7" t="n">
        <v>21</v>
      </c>
    </row>
    <row r="19" customFormat="false" ht="15" hidden="false" customHeight="false" outlineLevel="0" collapsed="false">
      <c r="A19" s="9" t="n">
        <v>17</v>
      </c>
      <c r="B19" s="6" t="s">
        <v>119</v>
      </c>
      <c r="C19" s="6" t="s">
        <v>22</v>
      </c>
      <c r="D19" s="8" t="n">
        <v>0.2755</v>
      </c>
      <c r="E19" s="8" t="n">
        <v>0.0001</v>
      </c>
      <c r="F19" s="7" t="n">
        <v>13</v>
      </c>
      <c r="G19" s="7" t="n">
        <v>21</v>
      </c>
    </row>
    <row r="20" customFormat="false" ht="15" hidden="false" customHeight="false" outlineLevel="0" collapsed="false">
      <c r="A20" s="9" t="n">
        <v>18</v>
      </c>
      <c r="B20" s="6" t="s">
        <v>88</v>
      </c>
      <c r="C20" s="6" t="s">
        <v>132</v>
      </c>
      <c r="D20" s="8" t="n">
        <v>0.2752</v>
      </c>
      <c r="E20" s="8" t="n">
        <v>0.0001</v>
      </c>
      <c r="F20" s="7" t="n">
        <v>9</v>
      </c>
      <c r="G20" s="7" t="n">
        <v>8</v>
      </c>
    </row>
    <row r="21" customFormat="false" ht="15" hidden="false" customHeight="false" outlineLevel="0" collapsed="false">
      <c r="A21" s="9" t="n">
        <v>19</v>
      </c>
      <c r="B21" s="6" t="s">
        <v>22</v>
      </c>
      <c r="C21" s="6" t="s">
        <v>134</v>
      </c>
      <c r="D21" s="8" t="n">
        <v>0.2642</v>
      </c>
      <c r="E21" s="8" t="n">
        <v>0.0001</v>
      </c>
      <c r="F21" s="7" t="n">
        <v>23</v>
      </c>
      <c r="G21" s="7" t="n">
        <v>23</v>
      </c>
    </row>
    <row r="22" customFormat="false" ht="15" hidden="false" customHeight="false" outlineLevel="0" collapsed="false">
      <c r="A22" s="9" t="n">
        <v>20</v>
      </c>
      <c r="B22" s="6" t="s">
        <v>132</v>
      </c>
      <c r="C22" s="6" t="s">
        <v>88</v>
      </c>
      <c r="D22" s="8" t="n">
        <v>0.2558</v>
      </c>
      <c r="E22" s="8" t="n">
        <v>0.0001</v>
      </c>
      <c r="F22" s="7" t="n">
        <v>10</v>
      </c>
      <c r="G22" s="7" t="n">
        <v>8</v>
      </c>
    </row>
    <row r="23" customFormat="false" ht="15" hidden="false" customHeight="false" outlineLevel="0" collapsed="false">
      <c r="A23" s="9" t="n">
        <v>21</v>
      </c>
      <c r="B23" s="6" t="s">
        <v>41</v>
      </c>
      <c r="C23" s="6" t="s">
        <v>121</v>
      </c>
      <c r="D23" s="8" t="n">
        <v>0.2517</v>
      </c>
      <c r="E23" s="8" t="n">
        <v>0.0001</v>
      </c>
      <c r="F23" s="7" t="n">
        <v>41</v>
      </c>
      <c r="G23" s="7" t="n">
        <v>91</v>
      </c>
    </row>
    <row r="24" customFormat="false" ht="15" hidden="false" customHeight="false" outlineLevel="0" collapsed="false">
      <c r="A24" s="9" t="n">
        <v>22</v>
      </c>
      <c r="B24" s="6" t="s">
        <v>134</v>
      </c>
      <c r="C24" s="6" t="s">
        <v>57</v>
      </c>
      <c r="D24" s="8" t="n">
        <v>0.25</v>
      </c>
      <c r="E24" s="8" t="n">
        <v>0.0001</v>
      </c>
      <c r="F24" s="7" t="n">
        <v>9</v>
      </c>
      <c r="G24" s="7" t="n">
        <v>8</v>
      </c>
    </row>
    <row r="25" customFormat="false" ht="15" hidden="false" customHeight="false" outlineLevel="0" collapsed="false">
      <c r="A25" s="9" t="n">
        <v>23</v>
      </c>
      <c r="B25" s="6" t="s">
        <v>121</v>
      </c>
      <c r="C25" s="6" t="s">
        <v>41</v>
      </c>
      <c r="D25" s="8" t="n">
        <v>0.246</v>
      </c>
      <c r="E25" s="8" t="n">
        <v>0.0001</v>
      </c>
      <c r="F25" s="7" t="n">
        <v>40</v>
      </c>
      <c r="G25" s="7" t="n">
        <v>91</v>
      </c>
    </row>
    <row r="26" customFormat="false" ht="15" hidden="false" customHeight="false" outlineLevel="0" collapsed="false">
      <c r="A26" s="9" t="n">
        <v>24</v>
      </c>
      <c r="B26" s="6" t="s">
        <v>134</v>
      </c>
      <c r="C26" s="6" t="s">
        <v>118</v>
      </c>
      <c r="D26" s="8" t="n">
        <v>0.2436</v>
      </c>
      <c r="E26" s="8" t="n">
        <v>0.0002</v>
      </c>
      <c r="F26" s="7" t="n">
        <v>9</v>
      </c>
      <c r="G26" s="7" t="n">
        <v>6</v>
      </c>
    </row>
    <row r="27" customFormat="false" ht="15" hidden="false" customHeight="false" outlineLevel="0" collapsed="false">
      <c r="A27" s="9" t="n">
        <v>25</v>
      </c>
      <c r="B27" s="6" t="s">
        <v>108</v>
      </c>
      <c r="C27" s="6" t="s">
        <v>115</v>
      </c>
      <c r="D27" s="8" t="n">
        <v>0.2369</v>
      </c>
      <c r="E27" s="8" t="n">
        <v>0.0001</v>
      </c>
      <c r="F27" s="7" t="n">
        <v>31</v>
      </c>
      <c r="G27" s="7" t="n">
        <v>57</v>
      </c>
    </row>
    <row r="28" customFormat="false" ht="15" hidden="false" customHeight="false" outlineLevel="0" collapsed="false">
      <c r="A28" s="9" t="n">
        <v>26</v>
      </c>
      <c r="B28" s="6" t="s">
        <v>115</v>
      </c>
      <c r="C28" s="6" t="s">
        <v>108</v>
      </c>
      <c r="D28" s="8" t="n">
        <v>0.2329</v>
      </c>
      <c r="E28" s="8" t="n">
        <v>0.0001</v>
      </c>
      <c r="F28" s="7" t="n">
        <v>23</v>
      </c>
      <c r="G28" s="7" t="n">
        <v>57</v>
      </c>
    </row>
    <row r="29" customFormat="false" ht="15" hidden="false" customHeight="false" outlineLevel="0" collapsed="false">
      <c r="A29" s="9" t="n">
        <v>27</v>
      </c>
      <c r="B29" s="6" t="s">
        <v>134</v>
      </c>
      <c r="C29" s="6" t="s">
        <v>67</v>
      </c>
      <c r="D29" s="8" t="n">
        <v>0.2328</v>
      </c>
      <c r="E29" s="8" t="n">
        <v>0.0001</v>
      </c>
      <c r="F29" s="7" t="n">
        <v>9</v>
      </c>
      <c r="G29" s="7" t="n">
        <v>10</v>
      </c>
    </row>
    <row r="30" customFormat="false" ht="15" hidden="false" customHeight="false" outlineLevel="0" collapsed="false">
      <c r="A30" s="9" t="n">
        <v>28</v>
      </c>
      <c r="B30" s="6" t="s">
        <v>134</v>
      </c>
      <c r="C30" s="6" t="s">
        <v>138</v>
      </c>
      <c r="D30" s="8" t="n">
        <v>0.2318</v>
      </c>
      <c r="E30" s="8" t="n">
        <v>0.0002</v>
      </c>
      <c r="F30" s="7" t="n">
        <v>11</v>
      </c>
      <c r="G30" s="7" t="n">
        <v>7</v>
      </c>
    </row>
    <row r="31" customFormat="false" ht="15" hidden="false" customHeight="false" outlineLevel="0" collapsed="false">
      <c r="A31" s="9" t="n">
        <v>29</v>
      </c>
      <c r="B31" s="6" t="s">
        <v>88</v>
      </c>
      <c r="C31" s="6" t="s">
        <v>148</v>
      </c>
      <c r="D31" s="8" t="n">
        <v>0.231</v>
      </c>
      <c r="E31" s="8" t="n">
        <v>0.0001</v>
      </c>
      <c r="F31" s="7" t="n">
        <v>6</v>
      </c>
      <c r="G31" s="7" t="n">
        <v>6</v>
      </c>
    </row>
    <row r="32" customFormat="false" ht="15" hidden="false" customHeight="false" outlineLevel="0" collapsed="false">
      <c r="A32" s="9" t="n">
        <v>30</v>
      </c>
      <c r="B32" s="6" t="s">
        <v>105</v>
      </c>
      <c r="C32" s="6" t="s">
        <v>149</v>
      </c>
      <c r="D32" s="8" t="n">
        <v>0.2307</v>
      </c>
      <c r="E32" s="8" t="n">
        <v>0.0013</v>
      </c>
      <c r="F32" s="7" t="n">
        <v>3</v>
      </c>
      <c r="G32" s="7" t="n">
        <v>6</v>
      </c>
    </row>
    <row r="33" customFormat="false" ht="15" hidden="false" customHeight="false" outlineLevel="0" collapsed="false">
      <c r="A33" s="9" t="n">
        <v>31</v>
      </c>
      <c r="B33" s="6" t="s">
        <v>22</v>
      </c>
      <c r="C33" s="6" t="s">
        <v>138</v>
      </c>
      <c r="D33" s="8" t="n">
        <v>0.2302</v>
      </c>
      <c r="E33" s="8" t="n">
        <v>0.0001</v>
      </c>
      <c r="F33" s="7" t="n">
        <v>19</v>
      </c>
      <c r="G33" s="7" t="n">
        <v>10</v>
      </c>
    </row>
    <row r="34" customFormat="false" ht="15" hidden="false" customHeight="false" outlineLevel="0" collapsed="false">
      <c r="A34" s="9" t="n">
        <v>32</v>
      </c>
      <c r="B34" s="6" t="s">
        <v>134</v>
      </c>
      <c r="C34" s="6" t="s">
        <v>123</v>
      </c>
      <c r="D34" s="8" t="n">
        <v>0.2291</v>
      </c>
      <c r="E34" s="8" t="n">
        <v>0.0001</v>
      </c>
      <c r="F34" s="7" t="n">
        <v>9</v>
      </c>
      <c r="G34" s="7" t="n">
        <v>8</v>
      </c>
    </row>
    <row r="35" customFormat="false" ht="15" hidden="false" customHeight="false" outlineLevel="0" collapsed="false">
      <c r="A35" s="9" t="n">
        <v>33</v>
      </c>
      <c r="B35" s="6" t="s">
        <v>138</v>
      </c>
      <c r="C35" s="6" t="s">
        <v>22</v>
      </c>
      <c r="D35" s="8" t="n">
        <v>0.2277</v>
      </c>
      <c r="E35" s="8" t="n">
        <v>0.0001</v>
      </c>
      <c r="F35" s="7" t="n">
        <v>11</v>
      </c>
      <c r="G35" s="7" t="n">
        <v>10</v>
      </c>
    </row>
    <row r="36" customFormat="false" ht="15" hidden="false" customHeight="false" outlineLevel="0" collapsed="false">
      <c r="A36" s="9" t="n">
        <v>34</v>
      </c>
      <c r="B36" s="6" t="s">
        <v>42</v>
      </c>
      <c r="C36" s="6" t="s">
        <v>94</v>
      </c>
      <c r="D36" s="8" t="n">
        <v>0.225</v>
      </c>
      <c r="E36" s="8" t="n">
        <v>0.0001</v>
      </c>
      <c r="F36" s="7" t="n">
        <v>12</v>
      </c>
      <c r="G36" s="7" t="n">
        <v>8</v>
      </c>
    </row>
    <row r="37" customFormat="false" ht="15" hidden="false" customHeight="false" outlineLevel="0" collapsed="false">
      <c r="A37" s="9" t="n">
        <v>35</v>
      </c>
      <c r="B37" s="6" t="s">
        <v>47</v>
      </c>
      <c r="C37" s="6" t="s">
        <v>94</v>
      </c>
      <c r="D37" s="8" t="n">
        <v>0.225</v>
      </c>
      <c r="E37" s="8" t="n">
        <v>0.0001</v>
      </c>
      <c r="F37" s="7" t="n">
        <v>12</v>
      </c>
      <c r="G37" s="7" t="n">
        <v>8</v>
      </c>
    </row>
    <row r="38" customFormat="false" ht="15" hidden="false" customHeight="false" outlineLevel="0" collapsed="false">
      <c r="A38" s="9" t="n">
        <v>36</v>
      </c>
      <c r="B38" s="6" t="s">
        <v>119</v>
      </c>
      <c r="C38" s="6" t="s">
        <v>134</v>
      </c>
      <c r="D38" s="8" t="n">
        <v>0.223</v>
      </c>
      <c r="E38" s="8" t="n">
        <v>0.0001</v>
      </c>
      <c r="F38" s="7" t="n">
        <v>11</v>
      </c>
      <c r="G38" s="7" t="n">
        <v>10</v>
      </c>
    </row>
    <row r="39" customFormat="false" ht="15" hidden="false" customHeight="false" outlineLevel="0" collapsed="false">
      <c r="A39" s="9" t="n">
        <v>37</v>
      </c>
      <c r="B39" s="6" t="s">
        <v>134</v>
      </c>
      <c r="C39" s="6" t="s">
        <v>119</v>
      </c>
      <c r="D39" s="8" t="n">
        <v>0.2201</v>
      </c>
      <c r="E39" s="8" t="n">
        <v>0.0002</v>
      </c>
      <c r="F39" s="7" t="n">
        <v>12</v>
      </c>
      <c r="G39" s="7" t="n">
        <v>10</v>
      </c>
    </row>
    <row r="40" customFormat="false" ht="15" hidden="false" customHeight="false" outlineLevel="0" collapsed="false">
      <c r="A40" s="9" t="n">
        <v>38</v>
      </c>
      <c r="B40" s="6" t="s">
        <v>35</v>
      </c>
      <c r="C40" s="6" t="s">
        <v>138</v>
      </c>
      <c r="D40" s="8" t="n">
        <v>0.2193</v>
      </c>
      <c r="E40" s="8" t="n">
        <v>0.0007</v>
      </c>
      <c r="F40" s="7" t="n">
        <v>9</v>
      </c>
      <c r="G40" s="7" t="n">
        <v>8</v>
      </c>
    </row>
    <row r="41" customFormat="false" ht="15" hidden="false" customHeight="false" outlineLevel="0" collapsed="false">
      <c r="A41" s="9" t="n">
        <v>39</v>
      </c>
      <c r="B41" s="6" t="s">
        <v>42</v>
      </c>
      <c r="C41" s="6" t="s">
        <v>83</v>
      </c>
      <c r="D41" s="8" t="n">
        <v>0.2187</v>
      </c>
      <c r="E41" s="8" t="n">
        <v>0.0001</v>
      </c>
      <c r="F41" s="7" t="n">
        <v>10</v>
      </c>
      <c r="G41" s="7" t="n">
        <v>6</v>
      </c>
    </row>
    <row r="42" customFormat="false" ht="15" hidden="false" customHeight="false" outlineLevel="0" collapsed="false">
      <c r="A42" s="9" t="n">
        <v>40</v>
      </c>
      <c r="B42" s="6" t="s">
        <v>47</v>
      </c>
      <c r="C42" s="6" t="s">
        <v>83</v>
      </c>
      <c r="D42" s="8" t="n">
        <v>0.2187</v>
      </c>
      <c r="E42" s="8" t="n">
        <v>0.0001</v>
      </c>
      <c r="F42" s="7" t="n">
        <v>10</v>
      </c>
      <c r="G42" s="7" t="n">
        <v>6</v>
      </c>
    </row>
    <row r="43" customFormat="false" ht="15" hidden="false" customHeight="false" outlineLevel="0" collapsed="false">
      <c r="A43" s="9" t="n">
        <v>41</v>
      </c>
      <c r="B43" s="6" t="s">
        <v>35</v>
      </c>
      <c r="C43" s="6" t="s">
        <v>57</v>
      </c>
      <c r="D43" s="8" t="n">
        <v>0.2186</v>
      </c>
      <c r="E43" s="8" t="n">
        <v>0.0002</v>
      </c>
      <c r="F43" s="7" t="n">
        <v>8</v>
      </c>
      <c r="G43" s="7" t="n">
        <v>12</v>
      </c>
    </row>
    <row r="44" customFormat="false" ht="15" hidden="false" customHeight="false" outlineLevel="0" collapsed="false">
      <c r="A44" s="9" t="n">
        <v>42</v>
      </c>
      <c r="B44" s="6" t="s">
        <v>114</v>
      </c>
      <c r="C44" s="6" t="s">
        <v>60</v>
      </c>
      <c r="D44" s="8" t="n">
        <v>0.2153</v>
      </c>
      <c r="E44" s="8" t="n">
        <v>0.0001</v>
      </c>
      <c r="F44" s="7" t="n">
        <v>5</v>
      </c>
      <c r="G44" s="7" t="n">
        <v>5</v>
      </c>
    </row>
    <row r="45" customFormat="false" ht="15" hidden="false" customHeight="false" outlineLevel="0" collapsed="false">
      <c r="A45" s="9" t="n">
        <v>43</v>
      </c>
      <c r="B45" s="6" t="s">
        <v>90</v>
      </c>
      <c r="C45" s="6" t="s">
        <v>88</v>
      </c>
      <c r="D45" s="8" t="n">
        <v>0.211</v>
      </c>
      <c r="E45" s="8" t="n">
        <v>0.0003</v>
      </c>
      <c r="F45" s="7" t="n">
        <v>7</v>
      </c>
      <c r="G45" s="7" t="n">
        <v>7</v>
      </c>
    </row>
    <row r="46" customFormat="false" ht="15" hidden="false" customHeight="false" outlineLevel="0" collapsed="false">
      <c r="A46" s="9" t="n">
        <v>44</v>
      </c>
      <c r="B46" s="6" t="s">
        <v>94</v>
      </c>
      <c r="C46" s="6" t="s">
        <v>42</v>
      </c>
      <c r="D46" s="8" t="n">
        <v>0.2098</v>
      </c>
      <c r="E46" s="8" t="n">
        <v>0.0001</v>
      </c>
      <c r="F46" s="7" t="n">
        <v>9</v>
      </c>
      <c r="G46" s="7" t="n">
        <v>8</v>
      </c>
    </row>
    <row r="47" customFormat="false" ht="15" hidden="false" customHeight="false" outlineLevel="0" collapsed="false">
      <c r="A47" s="9" t="n">
        <v>45</v>
      </c>
      <c r="B47" s="6" t="s">
        <v>94</v>
      </c>
      <c r="C47" s="6" t="s">
        <v>47</v>
      </c>
      <c r="D47" s="8" t="n">
        <v>0.2098</v>
      </c>
      <c r="E47" s="8" t="n">
        <v>0.0001</v>
      </c>
      <c r="F47" s="7" t="n">
        <v>9</v>
      </c>
      <c r="G47" s="7" t="n">
        <v>8</v>
      </c>
    </row>
    <row r="48" customFormat="false" ht="15" hidden="false" customHeight="false" outlineLevel="0" collapsed="false">
      <c r="A48" s="9" t="n">
        <v>46</v>
      </c>
      <c r="B48" s="6" t="s">
        <v>134</v>
      </c>
      <c r="C48" s="6" t="s">
        <v>58</v>
      </c>
      <c r="D48" s="8" t="n">
        <v>0.2082</v>
      </c>
      <c r="E48" s="8" t="n">
        <v>0.0006</v>
      </c>
      <c r="F48" s="7" t="n">
        <v>8</v>
      </c>
      <c r="G48" s="7" t="n">
        <v>5</v>
      </c>
    </row>
    <row r="49" customFormat="false" ht="15" hidden="false" customHeight="false" outlineLevel="0" collapsed="false">
      <c r="A49" s="9" t="n">
        <v>47</v>
      </c>
      <c r="B49" s="6" t="s">
        <v>134</v>
      </c>
      <c r="C49" s="6" t="s">
        <v>61</v>
      </c>
      <c r="D49" s="8" t="n">
        <v>0.2044</v>
      </c>
      <c r="E49" s="8" t="n">
        <v>0.0003</v>
      </c>
      <c r="F49" s="7" t="n">
        <v>9</v>
      </c>
      <c r="G49" s="7" t="n">
        <v>7</v>
      </c>
    </row>
    <row r="50" customFormat="false" ht="15" hidden="false" customHeight="false" outlineLevel="0" collapsed="false">
      <c r="A50" s="9" t="n">
        <v>48</v>
      </c>
      <c r="B50" s="6" t="s">
        <v>132</v>
      </c>
      <c r="C50" s="6" t="s">
        <v>91</v>
      </c>
      <c r="D50" s="8" t="n">
        <v>0.2033</v>
      </c>
      <c r="E50" s="8" t="n">
        <v>0.0005</v>
      </c>
      <c r="F50" s="7" t="n">
        <v>6</v>
      </c>
      <c r="G50" s="7" t="n">
        <v>14</v>
      </c>
    </row>
    <row r="51" customFormat="false" ht="15" hidden="false" customHeight="false" outlineLevel="0" collapsed="false">
      <c r="A51" s="9" t="n">
        <v>49</v>
      </c>
      <c r="B51" s="6" t="s">
        <v>88</v>
      </c>
      <c r="C51" s="6" t="s">
        <v>90</v>
      </c>
      <c r="D51" s="8" t="n">
        <v>0.2026</v>
      </c>
      <c r="E51" s="8" t="n">
        <v>0.0003</v>
      </c>
      <c r="F51" s="7" t="n">
        <v>7</v>
      </c>
      <c r="G51" s="7" t="n">
        <v>7</v>
      </c>
    </row>
    <row r="52" customFormat="false" ht="15" hidden="false" customHeight="false" outlineLevel="0" collapsed="false">
      <c r="A52" s="9" t="n">
        <v>50</v>
      </c>
      <c r="B52" s="6" t="s">
        <v>22</v>
      </c>
      <c r="C52" s="6" t="s">
        <v>45</v>
      </c>
      <c r="D52" s="8" t="n">
        <v>0.1971</v>
      </c>
      <c r="E52" s="8" t="n">
        <v>0.0001</v>
      </c>
      <c r="F52" s="7" t="n">
        <v>18</v>
      </c>
      <c r="G52" s="7" t="n">
        <v>35</v>
      </c>
    </row>
    <row r="53" customFormat="false" ht="15" hidden="false" customHeight="false" outlineLevel="0" collapsed="false">
      <c r="A53" s="9" t="n">
        <v>51</v>
      </c>
      <c r="B53" s="6" t="s">
        <v>113</v>
      </c>
      <c r="C53" s="6" t="s">
        <v>150</v>
      </c>
      <c r="D53" s="8" t="n">
        <v>0.1946</v>
      </c>
      <c r="E53" s="8" t="n">
        <v>0.0001</v>
      </c>
      <c r="F53" s="7" t="n">
        <v>10</v>
      </c>
      <c r="G53" s="7" t="n">
        <v>8</v>
      </c>
    </row>
    <row r="54" customFormat="false" ht="15" hidden="false" customHeight="false" outlineLevel="0" collapsed="false">
      <c r="A54" s="9" t="n">
        <v>52</v>
      </c>
      <c r="B54" s="6" t="s">
        <v>46</v>
      </c>
      <c r="C54" s="6" t="s">
        <v>113</v>
      </c>
      <c r="D54" s="8" t="n">
        <v>0.1938</v>
      </c>
      <c r="E54" s="8" t="n">
        <v>0.0001</v>
      </c>
      <c r="F54" s="7" t="n">
        <v>17</v>
      </c>
      <c r="G54" s="7" t="n">
        <v>68</v>
      </c>
    </row>
    <row r="55" customFormat="false" ht="15" hidden="false" customHeight="false" outlineLevel="0" collapsed="false">
      <c r="A55" s="9" t="n">
        <v>53</v>
      </c>
      <c r="B55" s="6" t="s">
        <v>114</v>
      </c>
      <c r="C55" s="6" t="s">
        <v>75</v>
      </c>
      <c r="D55" s="8" t="n">
        <v>0.1927</v>
      </c>
      <c r="E55" s="8" t="n">
        <v>0.0001</v>
      </c>
      <c r="F55" s="7" t="n">
        <v>4</v>
      </c>
      <c r="G55" s="7" t="n">
        <v>5</v>
      </c>
    </row>
    <row r="56" customFormat="false" ht="15" hidden="false" customHeight="false" outlineLevel="0" collapsed="false">
      <c r="A56" s="9" t="n">
        <v>54</v>
      </c>
      <c r="B56" s="6" t="s">
        <v>134</v>
      </c>
      <c r="C56" s="6" t="s">
        <v>104</v>
      </c>
      <c r="D56" s="8" t="n">
        <v>0.1918</v>
      </c>
      <c r="E56" s="8" t="n">
        <v>0.0001</v>
      </c>
      <c r="F56" s="7" t="n">
        <v>10</v>
      </c>
      <c r="G56" s="7" t="n">
        <v>32</v>
      </c>
    </row>
    <row r="57" customFormat="false" ht="15" hidden="false" customHeight="false" outlineLevel="0" collapsed="false">
      <c r="A57" s="9" t="n">
        <v>55</v>
      </c>
      <c r="B57" s="6" t="s">
        <v>118</v>
      </c>
      <c r="C57" s="6" t="s">
        <v>134</v>
      </c>
      <c r="D57" s="8" t="n">
        <v>0.1912</v>
      </c>
      <c r="E57" s="8" t="n">
        <v>0.0001</v>
      </c>
      <c r="F57" s="7" t="n">
        <v>6</v>
      </c>
      <c r="G57" s="7" t="n">
        <v>6</v>
      </c>
    </row>
    <row r="58" customFormat="false" ht="15" hidden="false" customHeight="false" outlineLevel="0" collapsed="false">
      <c r="A58" s="9" t="n">
        <v>56</v>
      </c>
      <c r="B58" s="6" t="s">
        <v>134</v>
      </c>
      <c r="C58" s="6" t="s">
        <v>89</v>
      </c>
      <c r="D58" s="8" t="n">
        <v>0.1905</v>
      </c>
      <c r="E58" s="8" t="n">
        <v>0.0014</v>
      </c>
      <c r="F58" s="7" t="n">
        <v>7</v>
      </c>
      <c r="G58" s="7" t="n">
        <v>6</v>
      </c>
    </row>
    <row r="59" customFormat="false" ht="15" hidden="false" customHeight="false" outlineLevel="0" collapsed="false">
      <c r="A59" s="9" t="n">
        <v>57</v>
      </c>
      <c r="B59" s="6" t="s">
        <v>22</v>
      </c>
      <c r="C59" s="6" t="s">
        <v>104</v>
      </c>
      <c r="D59" s="8" t="n">
        <v>0.1889</v>
      </c>
      <c r="E59" s="8" t="n">
        <v>0.0002</v>
      </c>
      <c r="F59" s="7" t="n">
        <v>17</v>
      </c>
      <c r="G59" s="7" t="n">
        <v>103</v>
      </c>
    </row>
    <row r="60" customFormat="false" ht="15" hidden="false" customHeight="false" outlineLevel="0" collapsed="false">
      <c r="A60" s="9" t="n">
        <v>58</v>
      </c>
      <c r="B60" s="6" t="s">
        <v>40</v>
      </c>
      <c r="C60" s="6" t="s">
        <v>129</v>
      </c>
      <c r="D60" s="8" t="n">
        <v>0.188</v>
      </c>
      <c r="E60" s="8" t="n">
        <v>0.0001</v>
      </c>
      <c r="F60" s="7" t="n">
        <v>7</v>
      </c>
      <c r="G60" s="7" t="n">
        <v>5</v>
      </c>
    </row>
    <row r="61" customFormat="false" ht="15" hidden="false" customHeight="false" outlineLevel="0" collapsed="false">
      <c r="A61" s="9" t="n">
        <v>59</v>
      </c>
      <c r="B61" s="6" t="s">
        <v>134</v>
      </c>
      <c r="C61" s="6" t="s">
        <v>107</v>
      </c>
      <c r="D61" s="8" t="n">
        <v>0.1871</v>
      </c>
      <c r="E61" s="8" t="n">
        <v>0.0005</v>
      </c>
      <c r="F61" s="7" t="n">
        <v>8</v>
      </c>
      <c r="G61" s="7" t="n">
        <v>11</v>
      </c>
    </row>
    <row r="62" customFormat="false" ht="15" hidden="false" customHeight="false" outlineLevel="0" collapsed="false">
      <c r="A62" s="9" t="n">
        <v>60</v>
      </c>
      <c r="B62" s="6" t="s">
        <v>138</v>
      </c>
      <c r="C62" s="6" t="s">
        <v>134</v>
      </c>
      <c r="D62" s="8" t="n">
        <v>0.1858</v>
      </c>
      <c r="E62" s="8" t="n">
        <v>0.0005</v>
      </c>
      <c r="F62" s="7" t="n">
        <v>10</v>
      </c>
      <c r="G62" s="7" t="n">
        <v>7</v>
      </c>
    </row>
    <row r="63" customFormat="false" ht="15" hidden="false" customHeight="false" outlineLevel="0" collapsed="false">
      <c r="A63" s="9" t="n">
        <v>61</v>
      </c>
      <c r="B63" s="6" t="s">
        <v>40</v>
      </c>
      <c r="C63" s="6" t="s">
        <v>57</v>
      </c>
      <c r="D63" s="8" t="n">
        <v>0.1857</v>
      </c>
      <c r="E63" s="8" t="n">
        <v>0.0001</v>
      </c>
      <c r="F63" s="7" t="n">
        <v>5</v>
      </c>
      <c r="G63" s="7" t="n">
        <v>5</v>
      </c>
    </row>
    <row r="64" customFormat="false" ht="15" hidden="false" customHeight="false" outlineLevel="0" collapsed="false">
      <c r="A64" s="9" t="n">
        <v>62</v>
      </c>
      <c r="B64" s="6" t="s">
        <v>134</v>
      </c>
      <c r="C64" s="6" t="s">
        <v>92</v>
      </c>
      <c r="D64" s="8" t="n">
        <v>0.185</v>
      </c>
      <c r="E64" s="8" t="n">
        <v>0.0004</v>
      </c>
      <c r="F64" s="7" t="n">
        <v>10</v>
      </c>
      <c r="G64" s="7" t="n">
        <v>9</v>
      </c>
    </row>
    <row r="65" customFormat="false" ht="15" hidden="false" customHeight="false" outlineLevel="0" collapsed="false">
      <c r="A65" s="9" t="n">
        <v>63</v>
      </c>
      <c r="B65" s="6" t="s">
        <v>134</v>
      </c>
      <c r="C65" s="6" t="s">
        <v>73</v>
      </c>
      <c r="D65" s="8" t="n">
        <v>0.1848</v>
      </c>
      <c r="E65" s="8" t="n">
        <v>0.0027</v>
      </c>
      <c r="F65" s="7" t="n">
        <v>9</v>
      </c>
      <c r="G65" s="7" t="n">
        <v>6</v>
      </c>
    </row>
    <row r="66" customFormat="false" ht="15" hidden="false" customHeight="false" outlineLevel="0" collapsed="false">
      <c r="A66" s="9" t="n">
        <v>64</v>
      </c>
      <c r="B66" s="6" t="s">
        <v>104</v>
      </c>
      <c r="C66" s="6" t="s">
        <v>22</v>
      </c>
      <c r="D66" s="8" t="n">
        <v>0.1843</v>
      </c>
      <c r="E66" s="8" t="n">
        <v>0.0001</v>
      </c>
      <c r="F66" s="7" t="n">
        <v>24</v>
      </c>
      <c r="G66" s="7" t="n">
        <v>103</v>
      </c>
    </row>
    <row r="67" customFormat="false" ht="15" hidden="false" customHeight="false" outlineLevel="0" collapsed="false">
      <c r="A67" s="9" t="n">
        <v>65</v>
      </c>
      <c r="B67" s="6" t="s">
        <v>115</v>
      </c>
      <c r="C67" s="6" t="s">
        <v>151</v>
      </c>
      <c r="D67" s="8" t="n">
        <v>0.1826</v>
      </c>
      <c r="E67" s="8" t="n">
        <v>0.0009</v>
      </c>
      <c r="F67" s="7" t="n">
        <v>9</v>
      </c>
      <c r="G67" s="7" t="n">
        <v>8</v>
      </c>
    </row>
    <row r="68" customFormat="false" ht="15" hidden="false" customHeight="false" outlineLevel="0" collapsed="false">
      <c r="A68" s="9" t="n">
        <v>66</v>
      </c>
      <c r="B68" s="6" t="s">
        <v>127</v>
      </c>
      <c r="C68" s="6" t="s">
        <v>103</v>
      </c>
      <c r="D68" s="8" t="n">
        <v>0.1812</v>
      </c>
      <c r="E68" s="8" t="n">
        <v>0.0005</v>
      </c>
      <c r="F68" s="7" t="n">
        <v>3</v>
      </c>
      <c r="G68" s="7" t="n">
        <v>5</v>
      </c>
    </row>
    <row r="69" customFormat="false" ht="15" hidden="false" customHeight="false" outlineLevel="0" collapsed="false">
      <c r="A69" s="9" t="n">
        <v>67</v>
      </c>
      <c r="B69" s="6" t="s">
        <v>35</v>
      </c>
      <c r="C69" s="6" t="s">
        <v>45</v>
      </c>
      <c r="D69" s="8" t="n">
        <v>0.18</v>
      </c>
      <c r="E69" s="8" t="n">
        <v>0.0013</v>
      </c>
      <c r="F69" s="7" t="n">
        <v>11</v>
      </c>
      <c r="G69" s="7" t="n">
        <v>17</v>
      </c>
    </row>
    <row r="70" customFormat="false" ht="15" hidden="false" customHeight="false" outlineLevel="0" collapsed="false">
      <c r="A70" s="9" t="n">
        <v>68</v>
      </c>
      <c r="B70" s="6" t="s">
        <v>134</v>
      </c>
      <c r="C70" s="6" t="s">
        <v>68</v>
      </c>
      <c r="D70" s="8" t="n">
        <v>0.1776</v>
      </c>
      <c r="E70" s="8" t="n">
        <v>0.0009</v>
      </c>
      <c r="F70" s="7" t="n">
        <v>7</v>
      </c>
      <c r="G70" s="7" t="n">
        <v>7</v>
      </c>
    </row>
    <row r="71" customFormat="false" ht="15" hidden="false" customHeight="false" outlineLevel="0" collapsed="false">
      <c r="A71" s="9" t="n">
        <v>69</v>
      </c>
      <c r="B71" s="6" t="s">
        <v>127</v>
      </c>
      <c r="C71" s="6" t="s">
        <v>57</v>
      </c>
      <c r="D71" s="8" t="n">
        <v>0.1773</v>
      </c>
      <c r="E71" s="8" t="n">
        <v>0.0007</v>
      </c>
      <c r="F71" s="7" t="n">
        <v>5</v>
      </c>
      <c r="G71" s="7" t="n">
        <v>6</v>
      </c>
    </row>
    <row r="72" customFormat="false" ht="15" hidden="false" customHeight="false" outlineLevel="0" collapsed="false">
      <c r="A72" s="9" t="n">
        <v>70</v>
      </c>
      <c r="B72" s="6" t="s">
        <v>138</v>
      </c>
      <c r="C72" s="6" t="s">
        <v>35</v>
      </c>
      <c r="D72" s="8" t="n">
        <v>0.1764</v>
      </c>
      <c r="E72" s="8" t="n">
        <v>0.0003</v>
      </c>
      <c r="F72" s="7" t="n">
        <v>7</v>
      </c>
      <c r="G72" s="7" t="n">
        <v>8</v>
      </c>
    </row>
    <row r="73" customFormat="false" ht="15" hidden="false" customHeight="false" outlineLevel="0" collapsed="false">
      <c r="A73" s="9" t="n">
        <v>71</v>
      </c>
      <c r="B73" s="6" t="s">
        <v>104</v>
      </c>
      <c r="C73" s="6" t="s">
        <v>67</v>
      </c>
      <c r="D73" s="8" t="n">
        <v>0.1761</v>
      </c>
      <c r="E73" s="8" t="n">
        <v>0.0001</v>
      </c>
      <c r="F73" s="7" t="n">
        <v>15</v>
      </c>
      <c r="G73" s="7" t="n">
        <v>34</v>
      </c>
    </row>
    <row r="74" customFormat="false" ht="15" hidden="false" customHeight="false" outlineLevel="0" collapsed="false">
      <c r="A74" s="9" t="n">
        <v>72</v>
      </c>
      <c r="B74" s="6" t="s">
        <v>88</v>
      </c>
      <c r="C74" s="6" t="s">
        <v>91</v>
      </c>
      <c r="D74" s="8" t="n">
        <v>0.176</v>
      </c>
      <c r="E74" s="8" t="n">
        <v>0.0005</v>
      </c>
      <c r="F74" s="7" t="n">
        <v>6</v>
      </c>
      <c r="G74" s="7" t="n">
        <v>5</v>
      </c>
    </row>
    <row r="75" customFormat="false" ht="15" hidden="false" customHeight="false" outlineLevel="0" collapsed="false">
      <c r="A75" s="9" t="n">
        <v>73</v>
      </c>
      <c r="B75" s="6" t="s">
        <v>22</v>
      </c>
      <c r="C75" s="6" t="s">
        <v>88</v>
      </c>
      <c r="D75" s="8" t="n">
        <v>0.1752</v>
      </c>
      <c r="E75" s="8" t="n">
        <v>0.0005</v>
      </c>
      <c r="F75" s="7" t="n">
        <v>13</v>
      </c>
      <c r="G75" s="7" t="n">
        <v>22</v>
      </c>
    </row>
    <row r="76" customFormat="false" ht="15" hidden="false" customHeight="false" outlineLevel="0" collapsed="false">
      <c r="A76" s="9" t="n">
        <v>74</v>
      </c>
      <c r="B76" s="6" t="s">
        <v>138</v>
      </c>
      <c r="C76" s="6" t="s">
        <v>92</v>
      </c>
      <c r="D76" s="8" t="n">
        <v>0.1749</v>
      </c>
      <c r="E76" s="8" t="n">
        <v>0.001</v>
      </c>
      <c r="F76" s="7" t="n">
        <v>7</v>
      </c>
      <c r="G76" s="7" t="n">
        <v>7</v>
      </c>
    </row>
    <row r="77" customFormat="false" ht="15" hidden="false" customHeight="false" outlineLevel="0" collapsed="false">
      <c r="A77" s="9" t="n">
        <v>75</v>
      </c>
      <c r="B77" s="6" t="s">
        <v>38</v>
      </c>
      <c r="C77" s="6" t="s">
        <v>42</v>
      </c>
      <c r="D77" s="8" t="n">
        <v>0.1748</v>
      </c>
      <c r="E77" s="8" t="n">
        <v>0.0002</v>
      </c>
      <c r="F77" s="7" t="n">
        <v>6</v>
      </c>
      <c r="G77" s="7" t="n">
        <v>7</v>
      </c>
    </row>
    <row r="78" customFormat="false" ht="15" hidden="false" customHeight="false" outlineLevel="0" collapsed="false">
      <c r="A78" s="9" t="n">
        <v>76</v>
      </c>
      <c r="B78" s="6" t="s">
        <v>38</v>
      </c>
      <c r="C78" s="6" t="s">
        <v>47</v>
      </c>
      <c r="D78" s="8" t="n">
        <v>0.1748</v>
      </c>
      <c r="E78" s="8" t="n">
        <v>0.0002</v>
      </c>
      <c r="F78" s="7" t="n">
        <v>6</v>
      </c>
      <c r="G78" s="7" t="n">
        <v>7</v>
      </c>
    </row>
    <row r="79" customFormat="false" ht="15" hidden="false" customHeight="false" outlineLevel="0" collapsed="false">
      <c r="A79" s="9" t="n">
        <v>77</v>
      </c>
      <c r="B79" s="6" t="s">
        <v>117</v>
      </c>
      <c r="C79" s="6" t="s">
        <v>148</v>
      </c>
      <c r="D79" s="8" t="n">
        <v>0.1744</v>
      </c>
      <c r="E79" s="8" t="n">
        <v>0.0001</v>
      </c>
      <c r="F79" s="7" t="n">
        <v>8</v>
      </c>
      <c r="G79" s="7" t="n">
        <v>8</v>
      </c>
    </row>
    <row r="80" customFormat="false" ht="15" hidden="false" customHeight="false" outlineLevel="0" collapsed="false">
      <c r="A80" s="9" t="n">
        <v>78</v>
      </c>
      <c r="B80" s="6" t="s">
        <v>35</v>
      </c>
      <c r="C80" s="6" t="s">
        <v>104</v>
      </c>
      <c r="D80" s="8" t="n">
        <v>0.1737</v>
      </c>
      <c r="E80" s="8" t="n">
        <v>0.0001</v>
      </c>
      <c r="F80" s="7" t="n">
        <v>10</v>
      </c>
      <c r="G80" s="7" t="n">
        <v>43</v>
      </c>
    </row>
    <row r="81" customFormat="false" ht="15" hidden="false" customHeight="false" outlineLevel="0" collapsed="false">
      <c r="A81" s="9" t="n">
        <v>79</v>
      </c>
      <c r="B81" s="6" t="s">
        <v>83</v>
      </c>
      <c r="C81" s="6" t="s">
        <v>42</v>
      </c>
      <c r="D81" s="8" t="n">
        <v>0.1734</v>
      </c>
      <c r="E81" s="8" t="n">
        <v>0.0001</v>
      </c>
      <c r="F81" s="7" t="n">
        <v>9</v>
      </c>
      <c r="G81" s="7" t="n">
        <v>6</v>
      </c>
    </row>
    <row r="82" customFormat="false" ht="15" hidden="false" customHeight="false" outlineLevel="0" collapsed="false">
      <c r="A82" s="9" t="n">
        <v>80</v>
      </c>
      <c r="B82" s="6" t="s">
        <v>83</v>
      </c>
      <c r="C82" s="6" t="s">
        <v>47</v>
      </c>
      <c r="D82" s="8" t="n">
        <v>0.1734</v>
      </c>
      <c r="E82" s="8" t="n">
        <v>0.0001</v>
      </c>
      <c r="F82" s="7" t="n">
        <v>9</v>
      </c>
      <c r="G82" s="7" t="n">
        <v>6</v>
      </c>
    </row>
    <row r="83" customFormat="false" ht="15" hidden="false" customHeight="false" outlineLevel="0" collapsed="false">
      <c r="A83" s="9" t="n">
        <v>81</v>
      </c>
      <c r="B83" s="6" t="s">
        <v>138</v>
      </c>
      <c r="C83" s="6" t="s">
        <v>83</v>
      </c>
      <c r="D83" s="8" t="n">
        <v>0.1732</v>
      </c>
      <c r="E83" s="8" t="n">
        <v>0.001</v>
      </c>
      <c r="F83" s="7" t="n">
        <v>6</v>
      </c>
      <c r="G83" s="7" t="n">
        <v>6</v>
      </c>
    </row>
    <row r="84" customFormat="false" ht="15" hidden="false" customHeight="false" outlineLevel="0" collapsed="false">
      <c r="A84" s="9" t="n">
        <v>82</v>
      </c>
      <c r="B84" s="6" t="s">
        <v>134</v>
      </c>
      <c r="C84" s="6" t="s">
        <v>52</v>
      </c>
      <c r="D84" s="8" t="n">
        <v>0.1723</v>
      </c>
      <c r="E84" s="8" t="n">
        <v>0.0007</v>
      </c>
      <c r="F84" s="7" t="n">
        <v>6</v>
      </c>
      <c r="G84" s="7" t="n">
        <v>8</v>
      </c>
    </row>
    <row r="85" customFormat="false" ht="15" hidden="false" customHeight="false" outlineLevel="0" collapsed="false">
      <c r="A85" s="9" t="n">
        <v>83</v>
      </c>
      <c r="B85" s="6" t="s">
        <v>94</v>
      </c>
      <c r="C85" s="6" t="s">
        <v>38</v>
      </c>
      <c r="D85" s="8" t="n">
        <v>0.1718</v>
      </c>
      <c r="E85" s="8" t="n">
        <v>0.001</v>
      </c>
      <c r="F85" s="7" t="n">
        <v>6</v>
      </c>
      <c r="G85" s="7" t="n">
        <v>6</v>
      </c>
    </row>
    <row r="86" customFormat="false" ht="15" hidden="false" customHeight="false" outlineLevel="0" collapsed="false">
      <c r="A86" s="9" t="n">
        <v>84</v>
      </c>
      <c r="B86" s="6" t="s">
        <v>88</v>
      </c>
      <c r="C86" s="6" t="s">
        <v>22</v>
      </c>
      <c r="D86" s="8" t="n">
        <v>0.1712</v>
      </c>
      <c r="E86" s="8" t="n">
        <v>0.0001</v>
      </c>
      <c r="F86" s="7" t="n">
        <v>10</v>
      </c>
      <c r="G86" s="7" t="n">
        <v>22</v>
      </c>
    </row>
    <row r="87" customFormat="false" ht="15" hidden="false" customHeight="false" outlineLevel="0" collapsed="false">
      <c r="A87" s="9" t="n">
        <v>85</v>
      </c>
      <c r="B87" s="6" t="s">
        <v>118</v>
      </c>
      <c r="C87" s="6" t="s">
        <v>57</v>
      </c>
      <c r="D87" s="8" t="n">
        <v>0.1699</v>
      </c>
      <c r="E87" s="8" t="n">
        <v>0.0005</v>
      </c>
      <c r="F87" s="7" t="n">
        <v>4</v>
      </c>
      <c r="G87" s="7" t="n">
        <v>6</v>
      </c>
    </row>
    <row r="88" customFormat="false" ht="15" hidden="false" customHeight="false" outlineLevel="0" collapsed="false">
      <c r="A88" s="9" t="n">
        <v>86</v>
      </c>
      <c r="B88" s="6" t="s">
        <v>91</v>
      </c>
      <c r="C88" s="6" t="s">
        <v>88</v>
      </c>
      <c r="D88" s="8" t="n">
        <v>0.1697</v>
      </c>
      <c r="E88" s="8" t="n">
        <v>0.0007</v>
      </c>
      <c r="F88" s="7" t="n">
        <v>6</v>
      </c>
      <c r="G88" s="7" t="n">
        <v>5</v>
      </c>
    </row>
    <row r="89" customFormat="false" ht="15" hidden="false" customHeight="false" outlineLevel="0" collapsed="false">
      <c r="A89" s="9" t="n">
        <v>87</v>
      </c>
      <c r="B89" s="6" t="s">
        <v>113</v>
      </c>
      <c r="C89" s="6" t="s">
        <v>46</v>
      </c>
      <c r="D89" s="8" t="n">
        <v>0.1689</v>
      </c>
      <c r="E89" s="8" t="n">
        <v>0.0001</v>
      </c>
      <c r="F89" s="7" t="n">
        <v>26</v>
      </c>
      <c r="G89" s="7" t="n">
        <v>68</v>
      </c>
    </row>
    <row r="90" customFormat="false" ht="15" hidden="false" customHeight="false" outlineLevel="0" collapsed="false">
      <c r="A90" s="9" t="n">
        <v>88</v>
      </c>
      <c r="B90" s="6" t="s">
        <v>47</v>
      </c>
      <c r="C90" s="6" t="s">
        <v>42</v>
      </c>
      <c r="D90" s="8" t="n">
        <v>0.1674</v>
      </c>
      <c r="E90" s="8" t="n">
        <v>0.0002</v>
      </c>
      <c r="F90" s="7" t="n">
        <v>8</v>
      </c>
      <c r="G90" s="7" t="n">
        <v>40</v>
      </c>
    </row>
    <row r="91" customFormat="false" ht="15" hidden="false" customHeight="false" outlineLevel="0" collapsed="false">
      <c r="A91" s="9" t="n">
        <v>89</v>
      </c>
      <c r="B91" s="6" t="s">
        <v>42</v>
      </c>
      <c r="C91" s="6" t="s">
        <v>47</v>
      </c>
      <c r="D91" s="8" t="n">
        <v>0.1674</v>
      </c>
      <c r="E91" s="8" t="n">
        <v>0.0002</v>
      </c>
      <c r="F91" s="7" t="n">
        <v>8</v>
      </c>
      <c r="G91" s="7" t="n">
        <v>40</v>
      </c>
    </row>
    <row r="92" customFormat="false" ht="15" hidden="false" customHeight="false" outlineLevel="0" collapsed="false">
      <c r="A92" s="9" t="n">
        <v>90</v>
      </c>
      <c r="B92" s="6" t="s">
        <v>35</v>
      </c>
      <c r="C92" s="6" t="s">
        <v>37</v>
      </c>
      <c r="D92" s="8" t="n">
        <v>0.1669</v>
      </c>
      <c r="E92" s="8" t="n">
        <v>0.0054</v>
      </c>
      <c r="F92" s="7" t="n">
        <v>7</v>
      </c>
      <c r="G92" s="7" t="n">
        <v>6</v>
      </c>
    </row>
    <row r="93" customFormat="false" ht="15" hidden="false" customHeight="false" outlineLevel="0" collapsed="false">
      <c r="A93" s="9" t="n">
        <v>91</v>
      </c>
      <c r="B93" s="6" t="s">
        <v>38</v>
      </c>
      <c r="C93" s="6" t="s">
        <v>94</v>
      </c>
      <c r="D93" s="8" t="n">
        <v>0.1655</v>
      </c>
      <c r="E93" s="8" t="n">
        <v>0.0006</v>
      </c>
      <c r="F93" s="7" t="n">
        <v>6</v>
      </c>
      <c r="G93" s="7" t="n">
        <v>6</v>
      </c>
    </row>
    <row r="94" customFormat="false" ht="15" hidden="false" customHeight="false" outlineLevel="0" collapsed="false">
      <c r="A94" s="9" t="n">
        <v>92</v>
      </c>
      <c r="B94" s="6" t="s">
        <v>41</v>
      </c>
      <c r="C94" s="6" t="s">
        <v>108</v>
      </c>
      <c r="D94" s="8" t="n">
        <v>0.1637</v>
      </c>
      <c r="E94" s="8" t="n">
        <v>0.0007</v>
      </c>
      <c r="F94" s="7" t="n">
        <v>20</v>
      </c>
      <c r="G94" s="7" t="n">
        <v>42</v>
      </c>
    </row>
    <row r="95" customFormat="false" ht="15" hidden="false" customHeight="false" outlineLevel="0" collapsed="false">
      <c r="A95" s="9" t="n">
        <v>93</v>
      </c>
      <c r="B95" s="6" t="s">
        <v>94</v>
      </c>
      <c r="C95" s="6" t="s">
        <v>35</v>
      </c>
      <c r="D95" s="8" t="n">
        <v>0.162</v>
      </c>
      <c r="E95" s="8" t="n">
        <v>0.0008</v>
      </c>
      <c r="F95" s="7" t="n">
        <v>4</v>
      </c>
      <c r="G95" s="7" t="n">
        <v>8</v>
      </c>
    </row>
    <row r="96" customFormat="false" ht="15" hidden="false" customHeight="false" outlineLevel="0" collapsed="false">
      <c r="A96" s="9" t="n">
        <v>94</v>
      </c>
      <c r="B96" s="6" t="s">
        <v>41</v>
      </c>
      <c r="C96" s="6" t="s">
        <v>151</v>
      </c>
      <c r="D96" s="8" t="n">
        <v>0.1616</v>
      </c>
      <c r="E96" s="8" t="n">
        <v>0.0013</v>
      </c>
      <c r="F96" s="7" t="n">
        <v>5</v>
      </c>
      <c r="G96" s="7" t="n">
        <v>7</v>
      </c>
    </row>
    <row r="97" customFormat="false" ht="15" hidden="false" customHeight="false" outlineLevel="0" collapsed="false">
      <c r="A97" s="9" t="n">
        <v>95</v>
      </c>
      <c r="B97" s="6" t="s">
        <v>117</v>
      </c>
      <c r="C97" s="6" t="s">
        <v>152</v>
      </c>
      <c r="D97" s="8" t="n">
        <v>0.1616</v>
      </c>
      <c r="E97" s="8" t="n">
        <v>0.0001</v>
      </c>
      <c r="F97" s="7" t="n">
        <v>9</v>
      </c>
      <c r="G97" s="7" t="n">
        <v>5</v>
      </c>
    </row>
    <row r="98" customFormat="false" ht="15" hidden="false" customHeight="false" outlineLevel="0" collapsed="false">
      <c r="A98" s="9" t="n">
        <v>96</v>
      </c>
      <c r="B98" s="6" t="s">
        <v>42</v>
      </c>
      <c r="C98" s="6" t="s">
        <v>38</v>
      </c>
      <c r="D98" s="8" t="n">
        <v>0.1615</v>
      </c>
      <c r="E98" s="8" t="n">
        <v>0.0005</v>
      </c>
      <c r="F98" s="7" t="n">
        <v>9</v>
      </c>
      <c r="G98" s="7" t="n">
        <v>7</v>
      </c>
    </row>
    <row r="99" customFormat="false" ht="15" hidden="false" customHeight="false" outlineLevel="0" collapsed="false">
      <c r="A99" s="9" t="n">
        <v>97</v>
      </c>
      <c r="B99" s="6" t="s">
        <v>47</v>
      </c>
      <c r="C99" s="6" t="s">
        <v>38</v>
      </c>
      <c r="D99" s="8" t="n">
        <v>0.1615</v>
      </c>
      <c r="E99" s="8" t="n">
        <v>0.0005</v>
      </c>
      <c r="F99" s="7" t="n">
        <v>9</v>
      </c>
      <c r="G99" s="7" t="n">
        <v>7</v>
      </c>
    </row>
    <row r="100" customFormat="false" ht="15" hidden="false" customHeight="false" outlineLevel="0" collapsed="false">
      <c r="A100" s="9" t="n">
        <v>98</v>
      </c>
      <c r="B100" s="6" t="s">
        <v>42</v>
      </c>
      <c r="C100" s="6" t="s">
        <v>60</v>
      </c>
      <c r="D100" s="8" t="n">
        <v>0.1613</v>
      </c>
      <c r="E100" s="8" t="n">
        <v>0.0002</v>
      </c>
      <c r="F100" s="7" t="n">
        <v>6</v>
      </c>
      <c r="G100" s="7" t="n">
        <v>9</v>
      </c>
    </row>
    <row r="101" customFormat="false" ht="15" hidden="false" customHeight="false" outlineLevel="0" collapsed="false">
      <c r="A101" s="9" t="n">
        <v>99</v>
      </c>
      <c r="B101" s="6" t="s">
        <v>47</v>
      </c>
      <c r="C101" s="6" t="s">
        <v>60</v>
      </c>
      <c r="D101" s="8" t="n">
        <v>0.1613</v>
      </c>
      <c r="E101" s="8" t="n">
        <v>0.0002</v>
      </c>
      <c r="F101" s="7" t="n">
        <v>6</v>
      </c>
      <c r="G101" s="7" t="n">
        <v>9</v>
      </c>
    </row>
    <row r="102" customFormat="false" ht="15" hidden="false" customHeight="false" outlineLevel="0" collapsed="false">
      <c r="A102" s="9" t="n">
        <v>100</v>
      </c>
      <c r="B102" s="6" t="s">
        <v>40</v>
      </c>
      <c r="C102" s="6" t="s">
        <v>92</v>
      </c>
      <c r="D102" s="8" t="n">
        <v>0.1608</v>
      </c>
      <c r="E102" s="8" t="n">
        <v>0.0003</v>
      </c>
      <c r="F102" s="7" t="n">
        <v>7</v>
      </c>
      <c r="G102" s="7" t="n">
        <v>8</v>
      </c>
    </row>
    <row r="103" customFormat="false" ht="15" hidden="false" customHeight="false" outlineLevel="0" collapsed="false">
      <c r="A103" s="9" t="n">
        <v>101</v>
      </c>
      <c r="B103" s="6" t="s">
        <v>118</v>
      </c>
      <c r="C103" s="6" t="s">
        <v>61</v>
      </c>
      <c r="D103" s="8" t="n">
        <v>0.1607</v>
      </c>
      <c r="E103" s="8" t="n">
        <v>0.0003</v>
      </c>
      <c r="F103" s="7" t="n">
        <v>5</v>
      </c>
      <c r="G103" s="7" t="n">
        <v>7</v>
      </c>
    </row>
    <row r="104" customFormat="false" ht="15" hidden="false" customHeight="false" outlineLevel="0" collapsed="false">
      <c r="A104" s="9" t="n">
        <v>102</v>
      </c>
      <c r="B104" s="6" t="s">
        <v>138</v>
      </c>
      <c r="C104" s="6" t="s">
        <v>57</v>
      </c>
      <c r="D104" s="8" t="n">
        <v>0.1594</v>
      </c>
      <c r="E104" s="8" t="n">
        <v>0.0026</v>
      </c>
      <c r="F104" s="7" t="n">
        <v>5</v>
      </c>
      <c r="G104" s="7" t="n">
        <v>7</v>
      </c>
    </row>
    <row r="105" customFormat="false" ht="15" hidden="false" customHeight="false" outlineLevel="0" collapsed="false">
      <c r="A105" s="9" t="n">
        <v>103</v>
      </c>
      <c r="B105" s="6" t="s">
        <v>61</v>
      </c>
      <c r="C105" s="6" t="s">
        <v>153</v>
      </c>
      <c r="D105" s="8" t="n">
        <v>0.1591</v>
      </c>
      <c r="E105" s="8" t="n">
        <v>0.0001</v>
      </c>
      <c r="F105" s="7" t="n">
        <v>7</v>
      </c>
      <c r="G105" s="7" t="n">
        <v>6</v>
      </c>
    </row>
    <row r="106" customFormat="false" ht="15" hidden="false" customHeight="false" outlineLevel="0" collapsed="false">
      <c r="A106" s="9" t="n">
        <v>104</v>
      </c>
      <c r="B106" s="6" t="s">
        <v>104</v>
      </c>
      <c r="C106" s="6" t="s">
        <v>134</v>
      </c>
      <c r="D106" s="8" t="n">
        <v>0.1587</v>
      </c>
      <c r="E106" s="8" t="n">
        <v>0.0001</v>
      </c>
      <c r="F106" s="7" t="n">
        <v>18</v>
      </c>
      <c r="G106" s="7" t="n">
        <v>32</v>
      </c>
    </row>
    <row r="107" customFormat="false" ht="15" hidden="false" customHeight="false" outlineLevel="0" collapsed="false">
      <c r="A107" s="9" t="n">
        <v>105</v>
      </c>
      <c r="B107" s="6" t="s">
        <v>104</v>
      </c>
      <c r="C107" s="6" t="s">
        <v>154</v>
      </c>
      <c r="D107" s="8" t="n">
        <v>0.1585</v>
      </c>
      <c r="E107" s="8" t="n">
        <v>0.0005</v>
      </c>
      <c r="F107" s="7" t="n">
        <v>13</v>
      </c>
      <c r="G107" s="7" t="n">
        <v>6</v>
      </c>
    </row>
    <row r="108" customFormat="false" ht="15" hidden="false" customHeight="false" outlineLevel="0" collapsed="false">
      <c r="A108" s="9" t="n">
        <v>106</v>
      </c>
      <c r="B108" s="6" t="s">
        <v>83</v>
      </c>
      <c r="C108" s="6" t="s">
        <v>138</v>
      </c>
      <c r="D108" s="8" t="n">
        <v>0.1582</v>
      </c>
      <c r="E108" s="8" t="n">
        <v>0.0004</v>
      </c>
      <c r="F108" s="7" t="n">
        <v>6</v>
      </c>
      <c r="G108" s="7" t="n">
        <v>6</v>
      </c>
    </row>
    <row r="109" customFormat="false" ht="15" hidden="false" customHeight="false" outlineLevel="0" collapsed="false">
      <c r="A109" s="9" t="n">
        <v>107</v>
      </c>
      <c r="B109" s="6" t="s">
        <v>123</v>
      </c>
      <c r="C109" s="6" t="s">
        <v>134</v>
      </c>
      <c r="D109" s="8" t="n">
        <v>0.158</v>
      </c>
      <c r="E109" s="8" t="n">
        <v>0.0001</v>
      </c>
      <c r="F109" s="7" t="n">
        <v>7</v>
      </c>
      <c r="G109" s="7" t="n">
        <v>8</v>
      </c>
    </row>
    <row r="110" customFormat="false" ht="15" hidden="false" customHeight="false" outlineLevel="0" collapsed="false">
      <c r="A110" s="9" t="n">
        <v>108</v>
      </c>
      <c r="B110" s="6" t="s">
        <v>35</v>
      </c>
      <c r="C110" s="6" t="s">
        <v>101</v>
      </c>
      <c r="D110" s="8" t="n">
        <v>0.1574</v>
      </c>
      <c r="E110" s="8" t="n">
        <v>0.0019</v>
      </c>
      <c r="F110" s="7" t="n">
        <v>7</v>
      </c>
      <c r="G110" s="7" t="n">
        <v>13</v>
      </c>
    </row>
    <row r="111" customFormat="false" ht="15" hidden="false" customHeight="false" outlineLevel="0" collapsed="false">
      <c r="A111" s="9" t="n">
        <v>109</v>
      </c>
      <c r="B111" s="6" t="s">
        <v>88</v>
      </c>
      <c r="C111" s="6" t="s">
        <v>85</v>
      </c>
      <c r="D111" s="8" t="n">
        <v>0.1574</v>
      </c>
      <c r="E111" s="8" t="n">
        <v>0.0009</v>
      </c>
      <c r="F111" s="7" t="n">
        <v>6</v>
      </c>
      <c r="G111" s="7" t="n">
        <v>7</v>
      </c>
    </row>
    <row r="112" customFormat="false" ht="15" hidden="false" customHeight="false" outlineLevel="0" collapsed="false">
      <c r="A112" s="9" t="n">
        <v>110</v>
      </c>
      <c r="B112" s="6" t="s">
        <v>119</v>
      </c>
      <c r="C112" s="6" t="s">
        <v>67</v>
      </c>
      <c r="D112" s="8" t="n">
        <v>0.1573</v>
      </c>
      <c r="E112" s="8" t="n">
        <v>0.0014</v>
      </c>
      <c r="F112" s="7" t="n">
        <v>6</v>
      </c>
      <c r="G112" s="7" t="n">
        <v>8</v>
      </c>
    </row>
    <row r="113" customFormat="false" ht="15" hidden="false" customHeight="false" outlineLevel="0" collapsed="false">
      <c r="A113" s="9" t="n">
        <v>111</v>
      </c>
      <c r="B113" s="6" t="s">
        <v>118</v>
      </c>
      <c r="C113" s="6" t="s">
        <v>92</v>
      </c>
      <c r="D113" s="8" t="n">
        <v>0.1552</v>
      </c>
      <c r="E113" s="8" t="n">
        <v>0.0004</v>
      </c>
      <c r="F113" s="7" t="n">
        <v>6</v>
      </c>
      <c r="G113" s="7" t="n">
        <v>9</v>
      </c>
    </row>
    <row r="114" customFormat="false" ht="15" hidden="false" customHeight="false" outlineLevel="0" collapsed="false">
      <c r="A114" s="9" t="n">
        <v>112</v>
      </c>
      <c r="B114" s="6" t="s">
        <v>138</v>
      </c>
      <c r="C114" s="6" t="s">
        <v>118</v>
      </c>
      <c r="D114" s="8" t="n">
        <v>0.1549</v>
      </c>
      <c r="E114" s="8" t="n">
        <v>0.0036</v>
      </c>
      <c r="F114" s="7" t="n">
        <v>5</v>
      </c>
      <c r="G114" s="7" t="n">
        <v>5</v>
      </c>
    </row>
    <row r="115" customFormat="false" ht="15" hidden="false" customHeight="false" outlineLevel="0" collapsed="false">
      <c r="A115" s="9" t="n">
        <v>113</v>
      </c>
      <c r="B115" s="6" t="s">
        <v>57</v>
      </c>
      <c r="C115" s="6" t="s">
        <v>134</v>
      </c>
      <c r="D115" s="8" t="n">
        <v>0.1546</v>
      </c>
      <c r="E115" s="8" t="n">
        <v>0.0001</v>
      </c>
      <c r="F115" s="7" t="n">
        <v>9</v>
      </c>
      <c r="G115" s="7" t="n">
        <v>8</v>
      </c>
    </row>
    <row r="116" customFormat="false" ht="15" hidden="false" customHeight="false" outlineLevel="0" collapsed="false">
      <c r="A116" s="9" t="n">
        <v>114</v>
      </c>
      <c r="B116" s="6" t="s">
        <v>67</v>
      </c>
      <c r="C116" s="6" t="s">
        <v>89</v>
      </c>
      <c r="D116" s="8" t="n">
        <v>0.1545</v>
      </c>
      <c r="E116" s="8" t="n">
        <v>0.0002</v>
      </c>
      <c r="F116" s="7" t="n">
        <v>7</v>
      </c>
      <c r="G116" s="7" t="n">
        <v>6</v>
      </c>
    </row>
    <row r="117" customFormat="false" ht="15" hidden="false" customHeight="false" outlineLevel="0" collapsed="false">
      <c r="A117" s="9" t="n">
        <v>115</v>
      </c>
      <c r="B117" s="6" t="s">
        <v>118</v>
      </c>
      <c r="C117" s="6" t="s">
        <v>81</v>
      </c>
      <c r="D117" s="8" t="n">
        <v>0.1543</v>
      </c>
      <c r="E117" s="8" t="n">
        <v>0.0022</v>
      </c>
      <c r="F117" s="7" t="n">
        <v>4</v>
      </c>
      <c r="G117" s="7" t="n">
        <v>5</v>
      </c>
    </row>
    <row r="118" customFormat="false" ht="15" hidden="false" customHeight="false" outlineLevel="0" collapsed="false">
      <c r="A118" s="9" t="n">
        <v>116</v>
      </c>
      <c r="B118" s="6" t="s">
        <v>118</v>
      </c>
      <c r="C118" s="6" t="s">
        <v>138</v>
      </c>
      <c r="D118" s="8" t="n">
        <v>0.1542</v>
      </c>
      <c r="E118" s="8" t="n">
        <v>0.0004</v>
      </c>
      <c r="F118" s="7" t="n">
        <v>7</v>
      </c>
      <c r="G118" s="7" t="n">
        <v>5</v>
      </c>
    </row>
    <row r="119" customFormat="false" ht="15" hidden="false" customHeight="false" outlineLevel="0" collapsed="false">
      <c r="A119" s="9" t="n">
        <v>117</v>
      </c>
      <c r="B119" s="6" t="s">
        <v>138</v>
      </c>
      <c r="C119" s="6" t="s">
        <v>64</v>
      </c>
      <c r="D119" s="8" t="n">
        <v>0.1537</v>
      </c>
      <c r="E119" s="8" t="n">
        <v>0.0005</v>
      </c>
      <c r="F119" s="7" t="n">
        <v>7</v>
      </c>
      <c r="G119" s="7" t="n">
        <v>12</v>
      </c>
    </row>
    <row r="120" customFormat="false" ht="15" hidden="false" customHeight="false" outlineLevel="0" collapsed="false">
      <c r="A120" s="9" t="n">
        <v>118</v>
      </c>
      <c r="B120" s="6" t="s">
        <v>42</v>
      </c>
      <c r="C120" s="6" t="s">
        <v>35</v>
      </c>
      <c r="D120" s="8" t="n">
        <v>0.1535</v>
      </c>
      <c r="E120" s="8" t="n">
        <v>0.0003</v>
      </c>
      <c r="F120" s="7" t="n">
        <v>10</v>
      </c>
      <c r="G120" s="7" t="n">
        <v>8</v>
      </c>
    </row>
    <row r="121" customFormat="false" ht="15" hidden="false" customHeight="false" outlineLevel="0" collapsed="false">
      <c r="A121" s="9" t="n">
        <v>119</v>
      </c>
      <c r="B121" s="6" t="s">
        <v>47</v>
      </c>
      <c r="C121" s="6" t="s">
        <v>35</v>
      </c>
      <c r="D121" s="8" t="n">
        <v>0.1535</v>
      </c>
      <c r="E121" s="8" t="n">
        <v>0.0003</v>
      </c>
      <c r="F121" s="7" t="n">
        <v>10</v>
      </c>
      <c r="G121" s="7" t="n">
        <v>8</v>
      </c>
    </row>
    <row r="122" customFormat="false" ht="15" hidden="false" customHeight="false" outlineLevel="0" collapsed="false">
      <c r="A122" s="9" t="n">
        <v>120</v>
      </c>
      <c r="B122" s="6" t="s">
        <v>92</v>
      </c>
      <c r="C122" s="6" t="s">
        <v>138</v>
      </c>
      <c r="D122" s="8" t="n">
        <v>0.153</v>
      </c>
      <c r="E122" s="8" t="n">
        <v>0.0001</v>
      </c>
      <c r="F122" s="7" t="n">
        <v>10</v>
      </c>
      <c r="G122" s="7" t="n">
        <v>7</v>
      </c>
    </row>
    <row r="123" customFormat="false" ht="15" hidden="false" customHeight="false" outlineLevel="0" collapsed="false">
      <c r="A123" s="9" t="n">
        <v>121</v>
      </c>
      <c r="B123" s="6" t="s">
        <v>67</v>
      </c>
      <c r="C123" s="6" t="s">
        <v>134</v>
      </c>
      <c r="D123" s="8" t="n">
        <v>0.1525</v>
      </c>
      <c r="E123" s="8" t="n">
        <v>0.0001</v>
      </c>
      <c r="F123" s="7" t="n">
        <v>8</v>
      </c>
      <c r="G123" s="7" t="n">
        <v>10</v>
      </c>
    </row>
    <row r="124" customFormat="false" ht="15" hidden="false" customHeight="false" outlineLevel="0" collapsed="false">
      <c r="A124" s="9" t="n">
        <v>122</v>
      </c>
      <c r="B124" s="6" t="s">
        <v>60</v>
      </c>
      <c r="C124" s="6" t="s">
        <v>87</v>
      </c>
      <c r="D124" s="8" t="n">
        <v>0.1523</v>
      </c>
      <c r="E124" s="8" t="n">
        <v>0.0004</v>
      </c>
      <c r="F124" s="7" t="n">
        <v>7</v>
      </c>
      <c r="G124" s="7" t="n">
        <v>8</v>
      </c>
    </row>
    <row r="125" customFormat="false" ht="15" hidden="false" customHeight="false" outlineLevel="0" collapsed="false">
      <c r="A125" s="9" t="n">
        <v>123</v>
      </c>
      <c r="B125" s="6" t="s">
        <v>118</v>
      </c>
      <c r="C125" s="6" t="s">
        <v>123</v>
      </c>
      <c r="D125" s="8" t="n">
        <v>0.152</v>
      </c>
      <c r="E125" s="8" t="n">
        <v>0.0005</v>
      </c>
      <c r="F125" s="7" t="n">
        <v>5</v>
      </c>
      <c r="G125" s="7" t="n">
        <v>6</v>
      </c>
    </row>
    <row r="126" customFormat="false" ht="15" hidden="false" customHeight="false" outlineLevel="0" collapsed="false">
      <c r="A126" s="9" t="n">
        <v>124</v>
      </c>
      <c r="B126" s="6" t="s">
        <v>127</v>
      </c>
      <c r="C126" s="6" t="s">
        <v>60</v>
      </c>
      <c r="D126" s="8" t="n">
        <v>0.1516</v>
      </c>
      <c r="E126" s="8" t="n">
        <v>0.0006</v>
      </c>
      <c r="F126" s="7" t="n">
        <v>3</v>
      </c>
      <c r="G126" s="7" t="n">
        <v>6</v>
      </c>
    </row>
    <row r="127" customFormat="false" ht="15" hidden="false" customHeight="false" outlineLevel="0" collapsed="false">
      <c r="A127" s="9" t="n">
        <v>125</v>
      </c>
      <c r="B127" s="6" t="s">
        <v>104</v>
      </c>
      <c r="C127" s="6" t="s">
        <v>52</v>
      </c>
      <c r="D127" s="8" t="n">
        <v>0.1512</v>
      </c>
      <c r="E127" s="8" t="n">
        <v>0.0001</v>
      </c>
      <c r="F127" s="7" t="n">
        <v>12</v>
      </c>
      <c r="G127" s="7" t="n">
        <v>26</v>
      </c>
    </row>
    <row r="128" customFormat="false" ht="15" hidden="false" customHeight="false" outlineLevel="0" collapsed="false">
      <c r="A128" s="9" t="n">
        <v>126</v>
      </c>
      <c r="B128" s="6" t="s">
        <v>118</v>
      </c>
      <c r="C128" s="6" t="s">
        <v>73</v>
      </c>
      <c r="D128" s="8" t="n">
        <v>0.151</v>
      </c>
      <c r="E128" s="8" t="n">
        <v>0.0017</v>
      </c>
      <c r="F128" s="7" t="n">
        <v>5</v>
      </c>
      <c r="G128" s="7" t="n">
        <v>6</v>
      </c>
    </row>
    <row r="129" customFormat="false" ht="15" hidden="false" customHeight="false" outlineLevel="0" collapsed="false">
      <c r="A129" s="9" t="n">
        <v>127</v>
      </c>
      <c r="B129" s="6" t="s">
        <v>104</v>
      </c>
      <c r="C129" s="6" t="s">
        <v>35</v>
      </c>
      <c r="D129" s="8" t="n">
        <v>0.1491</v>
      </c>
      <c r="E129" s="8" t="n">
        <v>0.0001</v>
      </c>
      <c r="F129" s="7" t="n">
        <v>17</v>
      </c>
      <c r="G129" s="7" t="n">
        <v>43</v>
      </c>
    </row>
    <row r="130" customFormat="false" ht="15" hidden="false" customHeight="false" outlineLevel="0" collapsed="false">
      <c r="A130" s="9" t="n">
        <v>128</v>
      </c>
      <c r="B130" s="6" t="s">
        <v>67</v>
      </c>
      <c r="C130" s="6" t="s">
        <v>57</v>
      </c>
      <c r="D130" s="8" t="n">
        <v>0.149</v>
      </c>
      <c r="E130" s="8" t="n">
        <v>0.0002</v>
      </c>
      <c r="F130" s="7" t="n">
        <v>8</v>
      </c>
      <c r="G130" s="7" t="n">
        <v>9</v>
      </c>
    </row>
    <row r="131" customFormat="false" ht="15" hidden="false" customHeight="false" outlineLevel="0" collapsed="false">
      <c r="A131" s="9" t="n">
        <v>129</v>
      </c>
      <c r="B131" s="6" t="s">
        <v>67</v>
      </c>
      <c r="C131" s="6" t="s">
        <v>107</v>
      </c>
      <c r="D131" s="8" t="n">
        <v>0.1488</v>
      </c>
      <c r="E131" s="8" t="n">
        <v>0.0004</v>
      </c>
      <c r="F131" s="7" t="n">
        <v>7</v>
      </c>
      <c r="G131" s="7" t="n">
        <v>15</v>
      </c>
    </row>
    <row r="132" customFormat="false" ht="15" hidden="false" customHeight="false" outlineLevel="0" collapsed="false">
      <c r="A132" s="9" t="n">
        <v>130</v>
      </c>
      <c r="B132" s="6" t="s">
        <v>138</v>
      </c>
      <c r="C132" s="6" t="s">
        <v>104</v>
      </c>
      <c r="D132" s="8" t="n">
        <v>0.1483</v>
      </c>
      <c r="E132" s="8" t="n">
        <v>0.0001</v>
      </c>
      <c r="F132" s="7" t="n">
        <v>9</v>
      </c>
      <c r="G132" s="7" t="n">
        <v>14</v>
      </c>
    </row>
    <row r="133" customFormat="false" ht="15" hidden="false" customHeight="false" outlineLevel="0" collapsed="false">
      <c r="A133" s="9" t="n">
        <v>131</v>
      </c>
      <c r="B133" s="6" t="s">
        <v>60</v>
      </c>
      <c r="C133" s="6" t="s">
        <v>22</v>
      </c>
      <c r="D133" s="8" t="n">
        <v>0.148</v>
      </c>
      <c r="E133" s="8" t="n">
        <v>0.0001</v>
      </c>
      <c r="F133" s="7" t="n">
        <v>14</v>
      </c>
      <c r="G133" s="7" t="n">
        <v>26</v>
      </c>
    </row>
    <row r="134" customFormat="false" ht="15" hidden="false" customHeight="false" outlineLevel="0" collapsed="false">
      <c r="A134" s="9" t="n">
        <v>132</v>
      </c>
      <c r="B134" s="6" t="s">
        <v>127</v>
      </c>
      <c r="C134" s="6" t="s">
        <v>105</v>
      </c>
      <c r="D134" s="8" t="n">
        <v>0.1476</v>
      </c>
      <c r="E134" s="8" t="n">
        <v>0.0015</v>
      </c>
      <c r="F134" s="7" t="n">
        <v>2</v>
      </c>
      <c r="G134" s="7" t="n">
        <v>10</v>
      </c>
    </row>
    <row r="135" customFormat="false" ht="15" hidden="false" customHeight="false" outlineLevel="0" collapsed="false">
      <c r="A135" s="9" t="n">
        <v>133</v>
      </c>
      <c r="B135" s="6" t="s">
        <v>35</v>
      </c>
      <c r="C135" s="6" t="s">
        <v>42</v>
      </c>
      <c r="D135" s="8" t="n">
        <v>0.1467</v>
      </c>
      <c r="E135" s="8" t="n">
        <v>0.003</v>
      </c>
      <c r="F135" s="7" t="n">
        <v>7</v>
      </c>
      <c r="G135" s="7" t="n">
        <v>8</v>
      </c>
    </row>
    <row r="136" customFormat="false" ht="15" hidden="false" customHeight="false" outlineLevel="0" collapsed="false">
      <c r="A136" s="9" t="n">
        <v>134</v>
      </c>
      <c r="B136" s="6" t="s">
        <v>35</v>
      </c>
      <c r="C136" s="6" t="s">
        <v>47</v>
      </c>
      <c r="D136" s="8" t="n">
        <v>0.1467</v>
      </c>
      <c r="E136" s="8" t="n">
        <v>0.003</v>
      </c>
      <c r="F136" s="7" t="n">
        <v>7</v>
      </c>
      <c r="G136" s="7" t="n">
        <v>8</v>
      </c>
    </row>
    <row r="137" customFormat="false" ht="15" hidden="false" customHeight="false" outlineLevel="0" collapsed="false">
      <c r="A137" s="9" t="n">
        <v>135</v>
      </c>
      <c r="B137" s="6" t="s">
        <v>67</v>
      </c>
      <c r="C137" s="6" t="s">
        <v>104</v>
      </c>
      <c r="D137" s="8" t="n">
        <v>0.1467</v>
      </c>
      <c r="E137" s="8" t="n">
        <v>0.0001</v>
      </c>
      <c r="F137" s="7" t="n">
        <v>10</v>
      </c>
      <c r="G137" s="7" t="n">
        <v>34</v>
      </c>
    </row>
    <row r="138" customFormat="false" ht="15" hidden="false" customHeight="false" outlineLevel="0" collapsed="false">
      <c r="A138" s="9" t="n">
        <v>136</v>
      </c>
      <c r="B138" s="6" t="s">
        <v>38</v>
      </c>
      <c r="C138" s="6" t="s">
        <v>108</v>
      </c>
      <c r="D138" s="8" t="n">
        <v>0.1466</v>
      </c>
      <c r="E138" s="8" t="n">
        <v>0.0002</v>
      </c>
      <c r="F138" s="7" t="n">
        <v>7</v>
      </c>
      <c r="G138" s="7" t="n">
        <v>12</v>
      </c>
    </row>
    <row r="139" customFormat="false" ht="15" hidden="false" customHeight="false" outlineLevel="0" collapsed="false">
      <c r="A139" s="9" t="n">
        <v>137</v>
      </c>
      <c r="B139" s="6" t="s">
        <v>118</v>
      </c>
      <c r="C139" s="6" t="s">
        <v>104</v>
      </c>
      <c r="D139" s="8" t="n">
        <v>0.1465</v>
      </c>
      <c r="E139" s="8" t="n">
        <v>0.0001</v>
      </c>
      <c r="F139" s="7" t="n">
        <v>7</v>
      </c>
      <c r="G139" s="7" t="n">
        <v>13</v>
      </c>
    </row>
    <row r="140" customFormat="false" ht="15" hidden="false" customHeight="false" outlineLevel="0" collapsed="false">
      <c r="A140" s="9" t="n">
        <v>138</v>
      </c>
      <c r="B140" s="6" t="s">
        <v>22</v>
      </c>
      <c r="C140" s="6" t="s">
        <v>122</v>
      </c>
      <c r="D140" s="8" t="n">
        <v>0.1464</v>
      </c>
      <c r="E140" s="8" t="n">
        <v>0.001</v>
      </c>
      <c r="F140" s="7" t="n">
        <v>10</v>
      </c>
      <c r="G140" s="7" t="n">
        <v>93</v>
      </c>
    </row>
    <row r="141" customFormat="false" ht="15" hidden="false" customHeight="false" outlineLevel="0" collapsed="false">
      <c r="A141" s="9" t="n">
        <v>139</v>
      </c>
      <c r="B141" s="6" t="s">
        <v>40</v>
      </c>
      <c r="C141" s="6" t="s">
        <v>67</v>
      </c>
      <c r="D141" s="8" t="n">
        <v>0.1463</v>
      </c>
      <c r="E141" s="8" t="n">
        <v>0.0005</v>
      </c>
      <c r="F141" s="7" t="n">
        <v>4</v>
      </c>
      <c r="G141" s="7" t="n">
        <v>10</v>
      </c>
    </row>
    <row r="142" customFormat="false" ht="15" hidden="false" customHeight="false" outlineLevel="0" collapsed="false">
      <c r="A142" s="9" t="n">
        <v>140</v>
      </c>
      <c r="B142" s="6" t="s">
        <v>118</v>
      </c>
      <c r="C142" s="6" t="s">
        <v>58</v>
      </c>
      <c r="D142" s="8" t="n">
        <v>0.1463</v>
      </c>
      <c r="E142" s="8" t="n">
        <v>0.0018</v>
      </c>
      <c r="F142" s="7" t="n">
        <v>5</v>
      </c>
      <c r="G142" s="7" t="n">
        <v>6</v>
      </c>
    </row>
    <row r="143" customFormat="false" ht="15" hidden="false" customHeight="false" outlineLevel="0" collapsed="false">
      <c r="A143" s="9" t="n">
        <v>141</v>
      </c>
      <c r="B143" s="6" t="s">
        <v>125</v>
      </c>
      <c r="C143" s="6" t="s">
        <v>57</v>
      </c>
      <c r="D143" s="8" t="n">
        <v>0.1461</v>
      </c>
      <c r="E143" s="8" t="n">
        <v>0.0027</v>
      </c>
      <c r="F143" s="7" t="n">
        <v>8</v>
      </c>
      <c r="G143" s="7" t="n">
        <v>14</v>
      </c>
    </row>
    <row r="144" customFormat="false" ht="15" hidden="false" customHeight="false" outlineLevel="0" collapsed="false">
      <c r="A144" s="9" t="n">
        <v>142</v>
      </c>
      <c r="B144" s="6" t="s">
        <v>57</v>
      </c>
      <c r="C144" s="6" t="s">
        <v>35</v>
      </c>
      <c r="D144" s="8" t="n">
        <v>0.146</v>
      </c>
      <c r="E144" s="8" t="n">
        <v>0.0001</v>
      </c>
      <c r="F144" s="7" t="n">
        <v>8</v>
      </c>
      <c r="G144" s="7" t="n">
        <v>12</v>
      </c>
    </row>
    <row r="145" customFormat="false" ht="15" hidden="false" customHeight="false" outlineLevel="0" collapsed="false">
      <c r="A145" s="9" t="n">
        <v>143</v>
      </c>
      <c r="B145" s="6" t="s">
        <v>104</v>
      </c>
      <c r="C145" s="6" t="s">
        <v>57</v>
      </c>
      <c r="D145" s="8" t="n">
        <v>0.1449</v>
      </c>
      <c r="E145" s="8" t="n">
        <v>0.0001</v>
      </c>
      <c r="F145" s="7" t="n">
        <v>13</v>
      </c>
      <c r="G145" s="7" t="n">
        <v>22</v>
      </c>
    </row>
    <row r="146" customFormat="false" ht="15" hidden="false" customHeight="false" outlineLevel="0" collapsed="false">
      <c r="A146" s="9" t="n">
        <v>144</v>
      </c>
      <c r="B146" s="6" t="s">
        <v>138</v>
      </c>
      <c r="C146" s="6" t="s">
        <v>75</v>
      </c>
      <c r="D146" s="8" t="n">
        <v>0.1444</v>
      </c>
      <c r="E146" s="8" t="n">
        <v>0.0021</v>
      </c>
      <c r="F146" s="7" t="n">
        <v>8</v>
      </c>
      <c r="G146" s="7" t="n">
        <v>8</v>
      </c>
    </row>
    <row r="147" customFormat="false" ht="15" hidden="false" customHeight="false" outlineLevel="0" collapsed="false">
      <c r="A147" s="9" t="n">
        <v>145</v>
      </c>
      <c r="B147" s="6" t="s">
        <v>127</v>
      </c>
      <c r="C147" s="6" t="s">
        <v>125</v>
      </c>
      <c r="D147" s="8" t="n">
        <v>0.144</v>
      </c>
      <c r="E147" s="8" t="n">
        <v>0.0013</v>
      </c>
      <c r="F147" s="7" t="n">
        <v>4</v>
      </c>
      <c r="G147" s="7" t="n">
        <v>10</v>
      </c>
    </row>
    <row r="148" customFormat="false" ht="15" hidden="false" customHeight="false" outlineLevel="0" collapsed="false">
      <c r="A148" s="9" t="n">
        <v>146</v>
      </c>
      <c r="B148" s="6" t="s">
        <v>104</v>
      </c>
      <c r="C148" s="6" t="s">
        <v>89</v>
      </c>
      <c r="D148" s="8" t="n">
        <v>0.1434</v>
      </c>
      <c r="E148" s="8" t="n">
        <v>0.0001</v>
      </c>
      <c r="F148" s="7" t="n">
        <v>10</v>
      </c>
      <c r="G148" s="7" t="n">
        <v>10</v>
      </c>
    </row>
    <row r="149" customFormat="false" ht="15" hidden="false" customHeight="false" outlineLevel="0" collapsed="false">
      <c r="A149" s="9" t="n">
        <v>147</v>
      </c>
      <c r="B149" s="6" t="s">
        <v>104</v>
      </c>
      <c r="C149" s="6" t="s">
        <v>155</v>
      </c>
      <c r="D149" s="8" t="n">
        <v>0.1434</v>
      </c>
      <c r="E149" s="8" t="n">
        <v>0.0004</v>
      </c>
      <c r="F149" s="7" t="n">
        <v>13</v>
      </c>
      <c r="G149" s="7" t="n">
        <v>7</v>
      </c>
    </row>
    <row r="150" customFormat="false" ht="15" hidden="false" customHeight="false" outlineLevel="0" collapsed="false">
      <c r="A150" s="9" t="n">
        <v>148</v>
      </c>
      <c r="B150" s="6" t="s">
        <v>122</v>
      </c>
      <c r="C150" s="6" t="s">
        <v>22</v>
      </c>
      <c r="D150" s="8" t="n">
        <v>0.1432</v>
      </c>
      <c r="E150" s="8" t="n">
        <v>0.0001</v>
      </c>
      <c r="F150" s="7" t="n">
        <v>33</v>
      </c>
      <c r="G150" s="7" t="n">
        <v>93</v>
      </c>
    </row>
    <row r="151" customFormat="false" ht="15" hidden="false" customHeight="false" outlineLevel="0" collapsed="false">
      <c r="A151" s="9" t="n">
        <v>149</v>
      </c>
      <c r="B151" s="6" t="s">
        <v>104</v>
      </c>
      <c r="C151" s="6" t="s">
        <v>156</v>
      </c>
      <c r="D151" s="8" t="n">
        <v>0.1421</v>
      </c>
      <c r="E151" s="8" t="n">
        <v>0.0008</v>
      </c>
      <c r="F151" s="7" t="n">
        <v>11</v>
      </c>
      <c r="G151" s="7" t="n">
        <v>5</v>
      </c>
    </row>
    <row r="152" customFormat="false" ht="15" hidden="false" customHeight="false" outlineLevel="0" collapsed="false">
      <c r="A152" s="9" t="n">
        <v>150</v>
      </c>
      <c r="B152" s="6" t="s">
        <v>113</v>
      </c>
      <c r="C152" s="6" t="s">
        <v>149</v>
      </c>
      <c r="D152" s="8" t="n">
        <v>0.1421</v>
      </c>
      <c r="E152" s="8" t="n">
        <v>0.0004</v>
      </c>
      <c r="F152" s="7" t="n">
        <v>8</v>
      </c>
      <c r="G152" s="7" t="n">
        <v>7</v>
      </c>
    </row>
    <row r="153" customFormat="false" ht="15" hidden="false" customHeight="false" outlineLevel="0" collapsed="false">
      <c r="A153" s="9" t="n">
        <v>151</v>
      </c>
      <c r="B153" s="6" t="s">
        <v>108</v>
      </c>
      <c r="C153" s="6" t="s">
        <v>38</v>
      </c>
      <c r="D153" s="8" t="n">
        <v>0.1419</v>
      </c>
      <c r="E153" s="8" t="n">
        <v>0.0003</v>
      </c>
      <c r="F153" s="7" t="n">
        <v>13</v>
      </c>
      <c r="G153" s="7" t="n">
        <v>12</v>
      </c>
    </row>
    <row r="154" customFormat="false" ht="15" hidden="false" customHeight="false" outlineLevel="0" collapsed="false">
      <c r="A154" s="9" t="n">
        <v>152</v>
      </c>
      <c r="B154" s="6" t="s">
        <v>61</v>
      </c>
      <c r="C154" s="6" t="s">
        <v>134</v>
      </c>
      <c r="D154" s="8" t="n">
        <v>0.1414</v>
      </c>
      <c r="E154" s="8" t="n">
        <v>0.0001</v>
      </c>
      <c r="F154" s="7" t="n">
        <v>8</v>
      </c>
      <c r="G154" s="7" t="n">
        <v>7</v>
      </c>
    </row>
    <row r="155" customFormat="false" ht="15" hidden="false" customHeight="false" outlineLevel="0" collapsed="false">
      <c r="A155" s="9" t="n">
        <v>153</v>
      </c>
      <c r="B155" s="6" t="s">
        <v>104</v>
      </c>
      <c r="C155" s="6" t="s">
        <v>157</v>
      </c>
      <c r="D155" s="8" t="n">
        <v>0.1409</v>
      </c>
      <c r="E155" s="8" t="n">
        <v>0.0004</v>
      </c>
      <c r="F155" s="7" t="n">
        <v>14</v>
      </c>
      <c r="G155" s="7" t="n">
        <v>7</v>
      </c>
    </row>
    <row r="156" customFormat="false" ht="15" hidden="false" customHeight="false" outlineLevel="0" collapsed="false">
      <c r="A156" s="9" t="n">
        <v>154</v>
      </c>
      <c r="B156" s="6" t="s">
        <v>83</v>
      </c>
      <c r="C156" s="6" t="s">
        <v>134</v>
      </c>
      <c r="D156" s="8" t="n">
        <v>0.1406</v>
      </c>
      <c r="E156" s="8" t="n">
        <v>0.0003</v>
      </c>
      <c r="F156" s="7" t="n">
        <v>7</v>
      </c>
      <c r="G156" s="7" t="n">
        <v>5</v>
      </c>
    </row>
    <row r="157" customFormat="false" ht="15" hidden="false" customHeight="false" outlineLevel="0" collapsed="false">
      <c r="A157" s="9" t="n">
        <v>155</v>
      </c>
      <c r="B157" s="6" t="s">
        <v>134</v>
      </c>
      <c r="C157" s="6" t="s">
        <v>42</v>
      </c>
      <c r="D157" s="8" t="n">
        <v>0.1397</v>
      </c>
      <c r="E157" s="8" t="n">
        <v>0.0026</v>
      </c>
      <c r="F157" s="7" t="n">
        <v>4</v>
      </c>
      <c r="G157" s="7" t="n">
        <v>10</v>
      </c>
    </row>
    <row r="158" customFormat="false" ht="15" hidden="false" customHeight="false" outlineLevel="0" collapsed="false">
      <c r="A158" s="9" t="n">
        <v>156</v>
      </c>
      <c r="B158" s="6" t="s">
        <v>134</v>
      </c>
      <c r="C158" s="6" t="s">
        <v>47</v>
      </c>
      <c r="D158" s="8" t="n">
        <v>0.1397</v>
      </c>
      <c r="E158" s="8" t="n">
        <v>0.0026</v>
      </c>
      <c r="F158" s="7" t="n">
        <v>4</v>
      </c>
      <c r="G158" s="7" t="n">
        <v>10</v>
      </c>
    </row>
    <row r="159" customFormat="false" ht="15" hidden="false" customHeight="false" outlineLevel="0" collapsed="false">
      <c r="A159" s="9" t="n">
        <v>157</v>
      </c>
      <c r="B159" s="6" t="s">
        <v>125</v>
      </c>
      <c r="C159" s="6" t="s">
        <v>149</v>
      </c>
      <c r="D159" s="8" t="n">
        <v>0.1395</v>
      </c>
      <c r="E159" s="8" t="n">
        <v>0.0059</v>
      </c>
      <c r="F159" s="7" t="n">
        <v>3</v>
      </c>
      <c r="G159" s="7" t="n">
        <v>6</v>
      </c>
    </row>
    <row r="160" customFormat="false" ht="15" hidden="false" customHeight="false" outlineLevel="0" collapsed="false">
      <c r="A160" s="9" t="n">
        <v>158</v>
      </c>
      <c r="B160" s="6" t="s">
        <v>60</v>
      </c>
      <c r="C160" s="6" t="s">
        <v>138</v>
      </c>
      <c r="D160" s="8" t="n">
        <v>0.1393</v>
      </c>
      <c r="E160" s="8" t="n">
        <v>0.0013</v>
      </c>
      <c r="F160" s="7" t="n">
        <v>9</v>
      </c>
      <c r="G160" s="7" t="n">
        <v>6</v>
      </c>
    </row>
    <row r="161" customFormat="false" ht="15" hidden="false" customHeight="false" outlineLevel="0" collapsed="false">
      <c r="A161" s="9" t="n">
        <v>159</v>
      </c>
      <c r="B161" s="6" t="s">
        <v>20</v>
      </c>
      <c r="C161" s="6" t="s">
        <v>151</v>
      </c>
      <c r="D161" s="8" t="n">
        <v>0.139</v>
      </c>
      <c r="E161" s="8" t="n">
        <v>0.0005</v>
      </c>
      <c r="F161" s="7" t="n">
        <v>3</v>
      </c>
      <c r="G161" s="7" t="n">
        <v>8</v>
      </c>
    </row>
    <row r="162" customFormat="false" ht="15" hidden="false" customHeight="false" outlineLevel="0" collapsed="false">
      <c r="A162" s="9" t="n">
        <v>160</v>
      </c>
      <c r="B162" s="6" t="s">
        <v>94</v>
      </c>
      <c r="C162" s="6" t="s">
        <v>33</v>
      </c>
      <c r="D162" s="8" t="n">
        <v>0.139</v>
      </c>
      <c r="E162" s="8" t="n">
        <v>0.0045</v>
      </c>
      <c r="F162" s="7" t="n">
        <v>7</v>
      </c>
      <c r="G162" s="7" t="n">
        <v>5</v>
      </c>
    </row>
    <row r="163" customFormat="false" ht="15" hidden="false" customHeight="false" outlineLevel="0" collapsed="false">
      <c r="A163" s="9" t="n">
        <v>161</v>
      </c>
      <c r="B163" s="6" t="s">
        <v>104</v>
      </c>
      <c r="C163" s="6" t="s">
        <v>118</v>
      </c>
      <c r="D163" s="8" t="n">
        <v>0.1386</v>
      </c>
      <c r="E163" s="8" t="n">
        <v>0.0001</v>
      </c>
      <c r="F163" s="7" t="n">
        <v>11</v>
      </c>
      <c r="G163" s="7" t="n">
        <v>13</v>
      </c>
    </row>
    <row r="164" customFormat="false" ht="15" hidden="false" customHeight="false" outlineLevel="0" collapsed="false">
      <c r="A164" s="9" t="n">
        <v>162</v>
      </c>
      <c r="B164" s="6" t="s">
        <v>104</v>
      </c>
      <c r="C164" s="6" t="s">
        <v>138</v>
      </c>
      <c r="D164" s="8" t="n">
        <v>0.1385</v>
      </c>
      <c r="E164" s="8" t="n">
        <v>0.0001</v>
      </c>
      <c r="F164" s="7" t="n">
        <v>17</v>
      </c>
      <c r="G164" s="7" t="n">
        <v>14</v>
      </c>
    </row>
    <row r="165" customFormat="false" ht="15" hidden="false" customHeight="false" outlineLevel="0" collapsed="false">
      <c r="A165" s="9" t="n">
        <v>163</v>
      </c>
      <c r="B165" s="6" t="s">
        <v>57</v>
      </c>
      <c r="C165" s="6" t="s">
        <v>138</v>
      </c>
      <c r="D165" s="8" t="n">
        <v>0.1381</v>
      </c>
      <c r="E165" s="8" t="n">
        <v>0.0003</v>
      </c>
      <c r="F165" s="7" t="n">
        <v>8</v>
      </c>
      <c r="G165" s="7" t="n">
        <v>7</v>
      </c>
    </row>
    <row r="166" customFormat="false" ht="15" hidden="false" customHeight="false" outlineLevel="0" collapsed="false">
      <c r="A166" s="9" t="n">
        <v>164</v>
      </c>
      <c r="B166" s="6" t="s">
        <v>118</v>
      </c>
      <c r="C166" s="6" t="s">
        <v>158</v>
      </c>
      <c r="D166" s="8" t="n">
        <v>0.1378</v>
      </c>
      <c r="E166" s="8" t="n">
        <v>0.006</v>
      </c>
      <c r="F166" s="7" t="n">
        <v>4</v>
      </c>
      <c r="G166" s="7" t="n">
        <v>5</v>
      </c>
    </row>
    <row r="167" customFormat="false" ht="15" hidden="false" customHeight="false" outlineLevel="0" collapsed="false">
      <c r="A167" s="9" t="n">
        <v>165</v>
      </c>
      <c r="B167" s="6" t="s">
        <v>38</v>
      </c>
      <c r="C167" s="6" t="s">
        <v>116</v>
      </c>
      <c r="D167" s="8" t="n">
        <v>0.1375</v>
      </c>
      <c r="E167" s="8" t="n">
        <v>0.0016</v>
      </c>
      <c r="F167" s="7" t="n">
        <v>7</v>
      </c>
      <c r="G167" s="7" t="n">
        <v>5</v>
      </c>
    </row>
    <row r="168" customFormat="false" ht="15" hidden="false" customHeight="false" outlineLevel="0" collapsed="false">
      <c r="A168" s="9" t="n">
        <v>166</v>
      </c>
      <c r="B168" s="6" t="s">
        <v>119</v>
      </c>
      <c r="C168" s="6" t="s">
        <v>104</v>
      </c>
      <c r="D168" s="8" t="n">
        <v>0.137</v>
      </c>
      <c r="E168" s="8" t="n">
        <v>0.0002</v>
      </c>
      <c r="F168" s="7" t="n">
        <v>7</v>
      </c>
      <c r="G168" s="7" t="n">
        <v>29</v>
      </c>
    </row>
    <row r="169" customFormat="false" ht="15" hidden="false" customHeight="false" outlineLevel="0" collapsed="false">
      <c r="A169" s="9" t="n">
        <v>167</v>
      </c>
      <c r="B169" s="6" t="s">
        <v>104</v>
      </c>
      <c r="C169" s="6" t="s">
        <v>92</v>
      </c>
      <c r="D169" s="8" t="n">
        <v>0.1367</v>
      </c>
      <c r="E169" s="8" t="n">
        <v>0.0001</v>
      </c>
      <c r="F169" s="7" t="n">
        <v>15</v>
      </c>
      <c r="G169" s="7" t="n">
        <v>25</v>
      </c>
    </row>
    <row r="170" customFormat="false" ht="15" hidden="false" customHeight="false" outlineLevel="0" collapsed="false">
      <c r="A170" s="9" t="n">
        <v>168</v>
      </c>
      <c r="B170" s="6" t="s">
        <v>138</v>
      </c>
      <c r="C170" s="6" t="s">
        <v>60</v>
      </c>
      <c r="D170" s="8" t="n">
        <v>0.1361</v>
      </c>
      <c r="E170" s="8" t="n">
        <v>0.0039</v>
      </c>
      <c r="F170" s="7" t="n">
        <v>6</v>
      </c>
      <c r="G170" s="7" t="n">
        <v>6</v>
      </c>
    </row>
    <row r="171" customFormat="false" ht="15" hidden="false" customHeight="false" outlineLevel="0" collapsed="false">
      <c r="A171" s="9" t="n">
        <v>169</v>
      </c>
      <c r="B171" s="6" t="s">
        <v>104</v>
      </c>
      <c r="C171" s="6" t="s">
        <v>159</v>
      </c>
      <c r="D171" s="8" t="n">
        <v>0.1357</v>
      </c>
      <c r="E171" s="8" t="n">
        <v>0.0016</v>
      </c>
      <c r="F171" s="7" t="n">
        <v>10</v>
      </c>
      <c r="G171" s="7" t="n">
        <v>6</v>
      </c>
    </row>
    <row r="172" customFormat="false" ht="15" hidden="false" customHeight="false" outlineLevel="0" collapsed="false">
      <c r="A172" s="9" t="n">
        <v>170</v>
      </c>
      <c r="B172" s="6" t="s">
        <v>108</v>
      </c>
      <c r="C172" s="6" t="s">
        <v>41</v>
      </c>
      <c r="D172" s="8" t="n">
        <v>0.1357</v>
      </c>
      <c r="E172" s="8" t="n">
        <v>0.0004</v>
      </c>
      <c r="F172" s="7" t="n">
        <v>23</v>
      </c>
      <c r="G172" s="7" t="n">
        <v>42</v>
      </c>
    </row>
    <row r="173" customFormat="false" ht="15" hidden="false" customHeight="false" outlineLevel="0" collapsed="false">
      <c r="A173" s="9" t="n">
        <v>171</v>
      </c>
      <c r="B173" s="6" t="s">
        <v>60</v>
      </c>
      <c r="C173" s="6" t="s">
        <v>134</v>
      </c>
      <c r="D173" s="8" t="n">
        <v>0.1355</v>
      </c>
      <c r="E173" s="8" t="n">
        <v>0.0001</v>
      </c>
      <c r="F173" s="7" t="n">
        <v>12</v>
      </c>
      <c r="G173" s="7" t="n">
        <v>13</v>
      </c>
    </row>
    <row r="174" customFormat="false" ht="15" hidden="false" customHeight="false" outlineLevel="0" collapsed="false">
      <c r="A174" s="9" t="n">
        <v>172</v>
      </c>
      <c r="B174" s="6" t="s">
        <v>40</v>
      </c>
      <c r="C174" s="6" t="s">
        <v>104</v>
      </c>
      <c r="D174" s="8" t="n">
        <v>0.1351</v>
      </c>
      <c r="E174" s="8" t="n">
        <v>0.0001</v>
      </c>
      <c r="F174" s="7" t="n">
        <v>6</v>
      </c>
      <c r="G174" s="7" t="n">
        <v>28</v>
      </c>
    </row>
    <row r="175" customFormat="false" ht="15" hidden="false" customHeight="false" outlineLevel="0" collapsed="false">
      <c r="A175" s="9" t="n">
        <v>173</v>
      </c>
      <c r="B175" s="6" t="s">
        <v>61</v>
      </c>
      <c r="C175" s="6" t="s">
        <v>89</v>
      </c>
      <c r="D175" s="8" t="n">
        <v>0.1348</v>
      </c>
      <c r="E175" s="8" t="n">
        <v>0.0003</v>
      </c>
      <c r="F175" s="7" t="n">
        <v>6</v>
      </c>
      <c r="G175" s="7" t="n">
        <v>5</v>
      </c>
    </row>
    <row r="176" customFormat="false" ht="15" hidden="false" customHeight="false" outlineLevel="0" collapsed="false">
      <c r="A176" s="9" t="n">
        <v>174</v>
      </c>
      <c r="B176" s="6" t="s">
        <v>92</v>
      </c>
      <c r="C176" s="6" t="s">
        <v>134</v>
      </c>
      <c r="D176" s="8" t="n">
        <v>0.1348</v>
      </c>
      <c r="E176" s="8" t="n">
        <v>0.0001</v>
      </c>
      <c r="F176" s="7" t="n">
        <v>8</v>
      </c>
      <c r="G176" s="7" t="n">
        <v>9</v>
      </c>
    </row>
    <row r="177" customFormat="false" ht="15" hidden="false" customHeight="false" outlineLevel="0" collapsed="false">
      <c r="A177" s="9" t="n">
        <v>175</v>
      </c>
      <c r="B177" s="6" t="s">
        <v>42</v>
      </c>
      <c r="C177" s="6" t="s">
        <v>104</v>
      </c>
      <c r="D177" s="8" t="n">
        <v>0.134</v>
      </c>
      <c r="E177" s="8" t="n">
        <v>0.0002</v>
      </c>
      <c r="F177" s="7" t="n">
        <v>9</v>
      </c>
      <c r="G177" s="7" t="n">
        <v>40</v>
      </c>
    </row>
    <row r="178" customFormat="false" ht="15" hidden="false" customHeight="false" outlineLevel="0" collapsed="false">
      <c r="A178" s="9" t="n">
        <v>176</v>
      </c>
      <c r="B178" s="6" t="s">
        <v>47</v>
      </c>
      <c r="C178" s="6" t="s">
        <v>104</v>
      </c>
      <c r="D178" s="8" t="n">
        <v>0.134</v>
      </c>
      <c r="E178" s="8" t="n">
        <v>0.0002</v>
      </c>
      <c r="F178" s="7" t="n">
        <v>9</v>
      </c>
      <c r="G178" s="7" t="n">
        <v>40</v>
      </c>
    </row>
    <row r="179" customFormat="false" ht="15" hidden="false" customHeight="false" outlineLevel="0" collapsed="false">
      <c r="A179" s="9" t="n">
        <v>177</v>
      </c>
      <c r="B179" s="6" t="s">
        <v>20</v>
      </c>
      <c r="C179" s="6" t="s">
        <v>115</v>
      </c>
      <c r="D179" s="8" t="n">
        <v>0.1339</v>
      </c>
      <c r="E179" s="8" t="n">
        <v>0.0001</v>
      </c>
      <c r="F179" s="7" t="n">
        <v>11</v>
      </c>
      <c r="G179" s="7" t="n">
        <v>15</v>
      </c>
    </row>
    <row r="180" customFormat="false" ht="15" hidden="false" customHeight="false" outlineLevel="0" collapsed="false">
      <c r="A180" s="9" t="n">
        <v>178</v>
      </c>
      <c r="B180" s="6" t="s">
        <v>113</v>
      </c>
      <c r="C180" s="6" t="s">
        <v>97</v>
      </c>
      <c r="D180" s="8" t="n">
        <v>0.1335</v>
      </c>
      <c r="E180" s="8" t="n">
        <v>0.001</v>
      </c>
      <c r="F180" s="7" t="n">
        <v>15</v>
      </c>
      <c r="G180" s="7" t="n">
        <v>12</v>
      </c>
    </row>
    <row r="181" customFormat="false" ht="15" hidden="false" customHeight="false" outlineLevel="0" collapsed="false">
      <c r="A181" s="9" t="n">
        <v>179</v>
      </c>
      <c r="B181" s="6" t="s">
        <v>119</v>
      </c>
      <c r="C181" s="6" t="s">
        <v>138</v>
      </c>
      <c r="D181" s="8" t="n">
        <v>0.1334</v>
      </c>
      <c r="E181" s="8" t="n">
        <v>0.0074</v>
      </c>
      <c r="F181" s="7" t="n">
        <v>5</v>
      </c>
      <c r="G181" s="7" t="n">
        <v>5</v>
      </c>
    </row>
    <row r="182" customFormat="false" ht="15" hidden="false" customHeight="false" outlineLevel="0" collapsed="false">
      <c r="A182" s="9" t="n">
        <v>180</v>
      </c>
      <c r="B182" s="6" t="s">
        <v>101</v>
      </c>
      <c r="C182" s="6" t="s">
        <v>35</v>
      </c>
      <c r="D182" s="8" t="n">
        <v>0.1328</v>
      </c>
      <c r="E182" s="8" t="n">
        <v>0.0004</v>
      </c>
      <c r="F182" s="7" t="n">
        <v>10</v>
      </c>
      <c r="G182" s="7" t="n">
        <v>13</v>
      </c>
    </row>
    <row r="183" customFormat="false" ht="15" hidden="false" customHeight="false" outlineLevel="0" collapsed="false">
      <c r="A183" s="9" t="n">
        <v>181</v>
      </c>
      <c r="B183" s="6" t="s">
        <v>116</v>
      </c>
      <c r="C183" s="6" t="s">
        <v>138</v>
      </c>
      <c r="D183" s="8" t="n">
        <v>0.1327</v>
      </c>
      <c r="E183" s="8" t="n">
        <v>0.0003</v>
      </c>
      <c r="F183" s="7" t="n">
        <v>10</v>
      </c>
      <c r="G183" s="7" t="n">
        <v>5</v>
      </c>
    </row>
    <row r="184" customFormat="false" ht="15" hidden="false" customHeight="false" outlineLevel="0" collapsed="false">
      <c r="A184" s="9" t="n">
        <v>182</v>
      </c>
      <c r="B184" s="6" t="s">
        <v>42</v>
      </c>
      <c r="C184" s="6" t="s">
        <v>22</v>
      </c>
      <c r="D184" s="8" t="n">
        <v>0.1324</v>
      </c>
      <c r="E184" s="8" t="n">
        <v>0.0007</v>
      </c>
      <c r="F184" s="7" t="n">
        <v>11</v>
      </c>
      <c r="G184" s="7" t="n">
        <v>23</v>
      </c>
    </row>
    <row r="185" customFormat="false" ht="15" hidden="false" customHeight="false" outlineLevel="0" collapsed="false">
      <c r="A185" s="9" t="n">
        <v>183</v>
      </c>
      <c r="B185" s="6" t="s">
        <v>47</v>
      </c>
      <c r="C185" s="6" t="s">
        <v>22</v>
      </c>
      <c r="D185" s="8" t="n">
        <v>0.1324</v>
      </c>
      <c r="E185" s="8" t="n">
        <v>0.0007</v>
      </c>
      <c r="F185" s="7" t="n">
        <v>11</v>
      </c>
      <c r="G185" s="7" t="n">
        <v>23</v>
      </c>
    </row>
    <row r="186" customFormat="false" ht="15" hidden="false" customHeight="false" outlineLevel="0" collapsed="false">
      <c r="A186" s="9" t="n">
        <v>184</v>
      </c>
      <c r="B186" s="6" t="s">
        <v>67</v>
      </c>
      <c r="C186" s="6" t="s">
        <v>22</v>
      </c>
      <c r="D186" s="8" t="n">
        <v>0.1322</v>
      </c>
      <c r="E186" s="8" t="n">
        <v>0.0001</v>
      </c>
      <c r="F186" s="7" t="n">
        <v>8</v>
      </c>
      <c r="G186" s="7" t="n">
        <v>18</v>
      </c>
    </row>
    <row r="187" customFormat="false" ht="15" hidden="false" customHeight="false" outlineLevel="0" collapsed="false">
      <c r="A187" s="9" t="n">
        <v>185</v>
      </c>
      <c r="B187" s="6" t="s">
        <v>92</v>
      </c>
      <c r="C187" s="6" t="s">
        <v>153</v>
      </c>
      <c r="D187" s="8" t="n">
        <v>0.1317</v>
      </c>
      <c r="E187" s="8" t="n">
        <v>0.0004</v>
      </c>
      <c r="F187" s="7" t="n">
        <v>7</v>
      </c>
      <c r="G187" s="7" t="n">
        <v>5</v>
      </c>
    </row>
    <row r="188" customFormat="false" ht="15" hidden="false" customHeight="false" outlineLevel="0" collapsed="false">
      <c r="A188" s="9" t="n">
        <v>186</v>
      </c>
      <c r="B188" s="6" t="s">
        <v>42</v>
      </c>
      <c r="C188" s="6" t="s">
        <v>116</v>
      </c>
      <c r="D188" s="8" t="n">
        <v>0.1317</v>
      </c>
      <c r="E188" s="8" t="n">
        <v>0.0012</v>
      </c>
      <c r="F188" s="7" t="n">
        <v>11</v>
      </c>
      <c r="G188" s="7" t="n">
        <v>14</v>
      </c>
    </row>
    <row r="189" customFormat="false" ht="15" hidden="false" customHeight="false" outlineLevel="0" collapsed="false">
      <c r="A189" s="9" t="n">
        <v>187</v>
      </c>
      <c r="B189" s="6" t="s">
        <v>47</v>
      </c>
      <c r="C189" s="6" t="s">
        <v>116</v>
      </c>
      <c r="D189" s="8" t="n">
        <v>0.1317</v>
      </c>
      <c r="E189" s="8" t="n">
        <v>0.0012</v>
      </c>
      <c r="F189" s="7" t="n">
        <v>11</v>
      </c>
      <c r="G189" s="7" t="n">
        <v>14</v>
      </c>
    </row>
    <row r="190" customFormat="false" ht="15" hidden="false" customHeight="false" outlineLevel="0" collapsed="false">
      <c r="A190" s="9" t="n">
        <v>188</v>
      </c>
      <c r="B190" s="6" t="s">
        <v>138</v>
      </c>
      <c r="C190" s="6" t="s">
        <v>45</v>
      </c>
      <c r="D190" s="8" t="n">
        <v>0.1315</v>
      </c>
      <c r="E190" s="8" t="n">
        <v>0.0032</v>
      </c>
      <c r="F190" s="7" t="n">
        <v>6</v>
      </c>
      <c r="G190" s="7" t="n">
        <v>9</v>
      </c>
    </row>
    <row r="191" customFormat="false" ht="15" hidden="false" customHeight="false" outlineLevel="0" collapsed="false">
      <c r="A191" s="9" t="n">
        <v>189</v>
      </c>
      <c r="B191" s="6" t="s">
        <v>138</v>
      </c>
      <c r="C191" s="6" t="s">
        <v>52</v>
      </c>
      <c r="D191" s="8" t="n">
        <v>0.1314</v>
      </c>
      <c r="E191" s="8" t="n">
        <v>0.0066</v>
      </c>
      <c r="F191" s="7" t="n">
        <v>3</v>
      </c>
      <c r="G191" s="7" t="n">
        <v>6</v>
      </c>
    </row>
    <row r="192" customFormat="false" ht="15" hidden="false" customHeight="false" outlineLevel="0" collapsed="false">
      <c r="A192" s="9" t="n">
        <v>190</v>
      </c>
      <c r="B192" s="6" t="s">
        <v>22</v>
      </c>
      <c r="C192" s="6" t="s">
        <v>101</v>
      </c>
      <c r="D192" s="8" t="n">
        <v>0.1309</v>
      </c>
      <c r="E192" s="8" t="n">
        <v>0.0045</v>
      </c>
      <c r="F192" s="7" t="n">
        <v>11</v>
      </c>
      <c r="G192" s="7" t="n">
        <v>18</v>
      </c>
    </row>
    <row r="193" customFormat="false" ht="15" hidden="false" customHeight="false" outlineLevel="0" collapsed="false">
      <c r="A193" s="9" t="n">
        <v>191</v>
      </c>
      <c r="B193" s="6" t="s">
        <v>119</v>
      </c>
      <c r="C193" s="6" t="s">
        <v>101</v>
      </c>
      <c r="D193" s="8" t="n">
        <v>0.1306</v>
      </c>
      <c r="E193" s="8" t="n">
        <v>0.0023</v>
      </c>
      <c r="F193" s="7" t="n">
        <v>4</v>
      </c>
      <c r="G193" s="7" t="n">
        <v>9</v>
      </c>
    </row>
    <row r="194" customFormat="false" ht="15" hidden="false" customHeight="false" outlineLevel="0" collapsed="false">
      <c r="A194" s="9" t="n">
        <v>192</v>
      </c>
      <c r="B194" s="6" t="s">
        <v>116</v>
      </c>
      <c r="C194" s="6" t="s">
        <v>22</v>
      </c>
      <c r="D194" s="8" t="n">
        <v>0.1303</v>
      </c>
      <c r="E194" s="8" t="n">
        <v>0.0001</v>
      </c>
      <c r="F194" s="7" t="n">
        <v>12</v>
      </c>
      <c r="G194" s="7" t="n">
        <v>32</v>
      </c>
    </row>
    <row r="195" customFormat="false" ht="15" hidden="false" customHeight="false" outlineLevel="0" collapsed="false">
      <c r="A195" s="9" t="n">
        <v>193</v>
      </c>
      <c r="B195" s="6" t="s">
        <v>58</v>
      </c>
      <c r="C195" s="6" t="s">
        <v>134</v>
      </c>
      <c r="D195" s="8" t="n">
        <v>0.1301</v>
      </c>
      <c r="E195" s="8" t="n">
        <v>0.0002</v>
      </c>
      <c r="F195" s="7" t="n">
        <v>5</v>
      </c>
      <c r="G195" s="7" t="n">
        <v>5</v>
      </c>
    </row>
    <row r="196" customFormat="false" ht="15" hidden="false" customHeight="false" outlineLevel="0" collapsed="false">
      <c r="A196" s="9" t="n">
        <v>194</v>
      </c>
      <c r="B196" s="6" t="s">
        <v>134</v>
      </c>
      <c r="C196" s="6" t="s">
        <v>110</v>
      </c>
      <c r="D196" s="8" t="n">
        <v>0.13</v>
      </c>
      <c r="E196" s="8" t="n">
        <v>0.0041</v>
      </c>
      <c r="F196" s="7" t="n">
        <v>10</v>
      </c>
      <c r="G196" s="7" t="n">
        <v>10</v>
      </c>
    </row>
    <row r="197" customFormat="false" ht="15" hidden="false" customHeight="false" outlineLevel="0" collapsed="false">
      <c r="A197" s="9" t="n">
        <v>195</v>
      </c>
      <c r="B197" s="6" t="s">
        <v>117</v>
      </c>
      <c r="C197" s="6" t="s">
        <v>132</v>
      </c>
      <c r="D197" s="8" t="n">
        <v>0.1295</v>
      </c>
      <c r="E197" s="8" t="n">
        <v>0.0007</v>
      </c>
      <c r="F197" s="7" t="n">
        <v>16</v>
      </c>
      <c r="G197" s="7" t="n">
        <v>13</v>
      </c>
    </row>
    <row r="198" customFormat="false" ht="15" hidden="false" customHeight="false" outlineLevel="0" collapsed="false">
      <c r="A198" s="9" t="n">
        <v>196</v>
      </c>
      <c r="B198" s="6" t="s">
        <v>114</v>
      </c>
      <c r="C198" s="6" t="s">
        <v>70</v>
      </c>
      <c r="D198" s="8" t="n">
        <v>0.1293</v>
      </c>
      <c r="E198" s="8" t="n">
        <v>0.0012</v>
      </c>
      <c r="F198" s="7" t="n">
        <v>3</v>
      </c>
      <c r="G198" s="7" t="n">
        <v>5</v>
      </c>
    </row>
    <row r="199" customFormat="false" ht="15" hidden="false" customHeight="false" outlineLevel="0" collapsed="false">
      <c r="A199" s="9" t="n">
        <v>197</v>
      </c>
      <c r="B199" s="6" t="s">
        <v>134</v>
      </c>
      <c r="C199" s="6" t="s">
        <v>116</v>
      </c>
      <c r="D199" s="8" t="n">
        <v>0.1287</v>
      </c>
      <c r="E199" s="8" t="n">
        <v>0.0037</v>
      </c>
      <c r="F199" s="7" t="n">
        <v>6</v>
      </c>
      <c r="G199" s="7" t="n">
        <v>16</v>
      </c>
    </row>
    <row r="200" customFormat="false" ht="15" hidden="false" customHeight="false" outlineLevel="0" collapsed="false">
      <c r="A200" s="9" t="n">
        <v>198</v>
      </c>
      <c r="B200" s="6" t="s">
        <v>92</v>
      </c>
      <c r="C200" s="6" t="s">
        <v>118</v>
      </c>
      <c r="D200" s="8" t="n">
        <v>0.1286</v>
      </c>
      <c r="E200" s="8" t="n">
        <v>0.0004</v>
      </c>
      <c r="F200" s="7" t="n">
        <v>7</v>
      </c>
      <c r="G200" s="7" t="n">
        <v>9</v>
      </c>
    </row>
    <row r="201" customFormat="false" ht="15" hidden="false" customHeight="false" outlineLevel="0" collapsed="false">
      <c r="A201" s="9" t="n">
        <v>199</v>
      </c>
      <c r="B201" s="6" t="s">
        <v>60</v>
      </c>
      <c r="C201" s="6" t="s">
        <v>42</v>
      </c>
      <c r="D201" s="8" t="n">
        <v>0.1281</v>
      </c>
      <c r="E201" s="8" t="n">
        <v>0.0005</v>
      </c>
      <c r="F201" s="7" t="n">
        <v>8</v>
      </c>
      <c r="G201" s="7" t="n">
        <v>9</v>
      </c>
    </row>
    <row r="202" customFormat="false" ht="15" hidden="false" customHeight="false" outlineLevel="0" collapsed="false">
      <c r="A202" s="9" t="n">
        <v>200</v>
      </c>
      <c r="B202" s="6" t="s">
        <v>60</v>
      </c>
      <c r="C202" s="6" t="s">
        <v>47</v>
      </c>
      <c r="D202" s="8" t="n">
        <v>0.1281</v>
      </c>
      <c r="E202" s="8" t="n">
        <v>0.0005</v>
      </c>
      <c r="F202" s="7" t="n">
        <v>8</v>
      </c>
      <c r="G202" s="7" t="n">
        <v>9</v>
      </c>
    </row>
    <row r="203" customFormat="false" ht="15" hidden="false" customHeight="false" outlineLevel="0" collapsed="false">
      <c r="A203" s="9" t="n">
        <v>201</v>
      </c>
      <c r="B203" s="6" t="s">
        <v>42</v>
      </c>
      <c r="C203" s="6" t="s">
        <v>134</v>
      </c>
      <c r="D203" s="8" t="n">
        <v>0.1281</v>
      </c>
      <c r="E203" s="8" t="n">
        <v>0.0021</v>
      </c>
      <c r="F203" s="7" t="n">
        <v>9</v>
      </c>
      <c r="G203" s="7" t="n">
        <v>10</v>
      </c>
    </row>
    <row r="204" customFormat="false" ht="15" hidden="false" customHeight="false" outlineLevel="0" collapsed="false">
      <c r="A204" s="9" t="n">
        <v>202</v>
      </c>
      <c r="B204" s="6" t="s">
        <v>47</v>
      </c>
      <c r="C204" s="6" t="s">
        <v>134</v>
      </c>
      <c r="D204" s="8" t="n">
        <v>0.1281</v>
      </c>
      <c r="E204" s="8" t="n">
        <v>0.0021</v>
      </c>
      <c r="F204" s="7" t="n">
        <v>9</v>
      </c>
      <c r="G204" s="7" t="n">
        <v>10</v>
      </c>
    </row>
    <row r="205" customFormat="false" ht="15" hidden="false" customHeight="false" outlineLevel="0" collapsed="false">
      <c r="A205" s="9" t="n">
        <v>203</v>
      </c>
      <c r="B205" s="6" t="s">
        <v>46</v>
      </c>
      <c r="C205" s="6" t="s">
        <v>122</v>
      </c>
      <c r="D205" s="8" t="n">
        <v>0.128</v>
      </c>
      <c r="E205" s="8" t="n">
        <v>0.0015</v>
      </c>
      <c r="F205" s="7" t="n">
        <v>7</v>
      </c>
      <c r="G205" s="7" t="n">
        <v>67</v>
      </c>
    </row>
    <row r="206" customFormat="false" ht="15" hidden="false" customHeight="false" outlineLevel="0" collapsed="false">
      <c r="A206" s="9" t="n">
        <v>204</v>
      </c>
      <c r="B206" s="6" t="s">
        <v>119</v>
      </c>
      <c r="C206" s="6" t="s">
        <v>45</v>
      </c>
      <c r="D206" s="8" t="n">
        <v>0.1278</v>
      </c>
      <c r="E206" s="8" t="n">
        <v>0.0026</v>
      </c>
      <c r="F206" s="7" t="n">
        <v>6</v>
      </c>
      <c r="G206" s="7" t="n">
        <v>11</v>
      </c>
    </row>
    <row r="207" customFormat="false" ht="15" hidden="false" customHeight="false" outlineLevel="0" collapsed="false">
      <c r="A207" s="9" t="n">
        <v>205</v>
      </c>
      <c r="B207" s="6" t="s">
        <v>117</v>
      </c>
      <c r="C207" s="6" t="s">
        <v>90</v>
      </c>
      <c r="D207" s="8" t="n">
        <v>0.1271</v>
      </c>
      <c r="E207" s="8" t="n">
        <v>0.0005</v>
      </c>
      <c r="F207" s="7" t="n">
        <v>10</v>
      </c>
      <c r="G207" s="7" t="n">
        <v>7</v>
      </c>
    </row>
    <row r="208" customFormat="false" ht="15" hidden="false" customHeight="false" outlineLevel="0" collapsed="false">
      <c r="A208" s="9" t="n">
        <v>206</v>
      </c>
      <c r="B208" s="6" t="s">
        <v>123</v>
      </c>
      <c r="C208" s="6" t="s">
        <v>67</v>
      </c>
      <c r="D208" s="8" t="n">
        <v>0.1262</v>
      </c>
      <c r="E208" s="8" t="n">
        <v>0.0005</v>
      </c>
      <c r="F208" s="7" t="n">
        <v>5</v>
      </c>
      <c r="G208" s="7" t="n">
        <v>9</v>
      </c>
    </row>
    <row r="209" customFormat="false" ht="15" hidden="false" customHeight="false" outlineLevel="0" collapsed="false">
      <c r="A209" s="9" t="n">
        <v>207</v>
      </c>
      <c r="B209" s="6" t="s">
        <v>61</v>
      </c>
      <c r="C209" s="6" t="s">
        <v>57</v>
      </c>
      <c r="D209" s="8" t="n">
        <v>0.126</v>
      </c>
      <c r="E209" s="8" t="n">
        <v>0.0006</v>
      </c>
      <c r="F209" s="7" t="n">
        <v>7</v>
      </c>
      <c r="G209" s="7" t="n">
        <v>11</v>
      </c>
    </row>
    <row r="210" customFormat="false" ht="15" hidden="false" customHeight="false" outlineLevel="0" collapsed="false">
      <c r="A210" s="9" t="n">
        <v>208</v>
      </c>
      <c r="B210" s="6" t="s">
        <v>22</v>
      </c>
      <c r="C210" s="6" t="s">
        <v>132</v>
      </c>
      <c r="D210" s="8" t="n">
        <v>0.1259</v>
      </c>
      <c r="E210" s="8" t="n">
        <v>0.006</v>
      </c>
      <c r="F210" s="7" t="n">
        <v>14</v>
      </c>
      <c r="G210" s="7" t="n">
        <v>13</v>
      </c>
    </row>
    <row r="211" customFormat="false" ht="15" hidden="false" customHeight="false" outlineLevel="0" collapsed="false">
      <c r="A211" s="9" t="n">
        <v>209</v>
      </c>
      <c r="B211" s="6" t="s">
        <v>134</v>
      </c>
      <c r="C211" s="6" t="s">
        <v>45</v>
      </c>
      <c r="D211" s="8" t="n">
        <v>0.1258</v>
      </c>
      <c r="E211" s="8" t="n">
        <v>0.0056</v>
      </c>
      <c r="F211" s="7" t="n">
        <v>7</v>
      </c>
      <c r="G211" s="7" t="n">
        <v>15</v>
      </c>
    </row>
    <row r="212" customFormat="false" ht="15" hidden="false" customHeight="false" outlineLevel="0" collapsed="false">
      <c r="A212" s="9" t="n">
        <v>210</v>
      </c>
      <c r="B212" s="6" t="s">
        <v>104</v>
      </c>
      <c r="C212" s="6" t="s">
        <v>58</v>
      </c>
      <c r="D212" s="8" t="n">
        <v>0.1256</v>
      </c>
      <c r="E212" s="8" t="n">
        <v>0.0001</v>
      </c>
      <c r="F212" s="7" t="n">
        <v>10</v>
      </c>
      <c r="G212" s="7" t="n">
        <v>14</v>
      </c>
    </row>
    <row r="213" customFormat="false" ht="15" hidden="false" customHeight="false" outlineLevel="0" collapsed="false">
      <c r="A213" s="9" t="n">
        <v>211</v>
      </c>
      <c r="B213" s="6" t="s">
        <v>22</v>
      </c>
      <c r="C213" s="6" t="s">
        <v>109</v>
      </c>
      <c r="D213" s="8" t="n">
        <v>0.1256</v>
      </c>
      <c r="E213" s="8" t="n">
        <v>0.0064</v>
      </c>
      <c r="F213" s="7" t="n">
        <v>11</v>
      </c>
      <c r="G213" s="7" t="n">
        <v>33</v>
      </c>
    </row>
    <row r="214" customFormat="false" ht="15" hidden="false" customHeight="false" outlineLevel="0" collapsed="false">
      <c r="A214" s="9" t="n">
        <v>212</v>
      </c>
      <c r="B214" s="6" t="s">
        <v>89</v>
      </c>
      <c r="C214" s="6" t="s">
        <v>134</v>
      </c>
      <c r="D214" s="8" t="n">
        <v>0.1253</v>
      </c>
      <c r="E214" s="8" t="n">
        <v>0.0002</v>
      </c>
      <c r="F214" s="7" t="n">
        <v>4</v>
      </c>
      <c r="G214" s="7" t="n">
        <v>6</v>
      </c>
    </row>
    <row r="215" customFormat="false" ht="15" hidden="false" customHeight="false" outlineLevel="0" collapsed="false">
      <c r="A215" s="9" t="n">
        <v>213</v>
      </c>
      <c r="B215" s="6" t="s">
        <v>92</v>
      </c>
      <c r="C215" s="6" t="s">
        <v>104</v>
      </c>
      <c r="D215" s="8" t="n">
        <v>0.1251</v>
      </c>
      <c r="E215" s="8" t="n">
        <v>0.0001</v>
      </c>
      <c r="F215" s="7" t="n">
        <v>10</v>
      </c>
      <c r="G215" s="7" t="n">
        <v>25</v>
      </c>
    </row>
    <row r="216" customFormat="false" ht="15" hidden="false" customHeight="false" outlineLevel="0" collapsed="false">
      <c r="A216" s="9" t="n">
        <v>214</v>
      </c>
      <c r="B216" s="6" t="s">
        <v>116</v>
      </c>
      <c r="C216" s="6" t="s">
        <v>45</v>
      </c>
      <c r="D216" s="8" t="n">
        <v>0.1249</v>
      </c>
      <c r="E216" s="8" t="n">
        <v>0.0003</v>
      </c>
      <c r="F216" s="7" t="n">
        <v>10</v>
      </c>
      <c r="G216" s="7" t="n">
        <v>13</v>
      </c>
    </row>
    <row r="217" customFormat="false" ht="15" hidden="false" customHeight="false" outlineLevel="0" collapsed="false">
      <c r="A217" s="9" t="n">
        <v>215</v>
      </c>
      <c r="B217" s="6" t="s">
        <v>60</v>
      </c>
      <c r="C217" s="6" t="s">
        <v>104</v>
      </c>
      <c r="D217" s="8" t="n">
        <v>0.1247</v>
      </c>
      <c r="E217" s="8" t="n">
        <v>0.0002</v>
      </c>
      <c r="F217" s="7" t="n">
        <v>11</v>
      </c>
      <c r="G217" s="7" t="n">
        <v>46</v>
      </c>
    </row>
    <row r="218" customFormat="false" ht="15" hidden="false" customHeight="false" outlineLevel="0" collapsed="false">
      <c r="A218" s="9" t="n">
        <v>216</v>
      </c>
      <c r="B218" s="6" t="s">
        <v>40</v>
      </c>
      <c r="C218" s="6" t="s">
        <v>134</v>
      </c>
      <c r="D218" s="8" t="n">
        <v>0.1243</v>
      </c>
      <c r="E218" s="8" t="n">
        <v>0.0006</v>
      </c>
      <c r="F218" s="7" t="n">
        <v>4</v>
      </c>
      <c r="G218" s="7" t="n">
        <v>8</v>
      </c>
    </row>
    <row r="219" customFormat="false" ht="15" hidden="false" customHeight="false" outlineLevel="0" collapsed="false">
      <c r="A219" s="9" t="n">
        <v>217</v>
      </c>
      <c r="B219" s="6" t="s">
        <v>92</v>
      </c>
      <c r="C219" s="6" t="s">
        <v>57</v>
      </c>
      <c r="D219" s="8" t="n">
        <v>0.124</v>
      </c>
      <c r="E219" s="8" t="n">
        <v>0.0002</v>
      </c>
      <c r="F219" s="7" t="n">
        <v>7</v>
      </c>
      <c r="G219" s="7" t="n">
        <v>14</v>
      </c>
    </row>
    <row r="220" customFormat="false" ht="15" hidden="false" customHeight="false" outlineLevel="0" collapsed="false">
      <c r="A220" s="9" t="n">
        <v>218</v>
      </c>
      <c r="B220" s="6" t="s">
        <v>46</v>
      </c>
      <c r="C220" s="6" t="s">
        <v>42</v>
      </c>
      <c r="D220" s="8" t="n">
        <v>0.1239</v>
      </c>
      <c r="E220" s="8" t="n">
        <v>0.0046</v>
      </c>
      <c r="F220" s="7" t="n">
        <v>13</v>
      </c>
      <c r="G220" s="7" t="n">
        <v>19</v>
      </c>
    </row>
    <row r="221" customFormat="false" ht="15" hidden="false" customHeight="false" outlineLevel="0" collapsed="false">
      <c r="A221" s="9" t="n">
        <v>219</v>
      </c>
      <c r="B221" s="6" t="s">
        <v>46</v>
      </c>
      <c r="C221" s="6" t="s">
        <v>47</v>
      </c>
      <c r="D221" s="8" t="n">
        <v>0.1239</v>
      </c>
      <c r="E221" s="8" t="n">
        <v>0.0046</v>
      </c>
      <c r="F221" s="7" t="n">
        <v>13</v>
      </c>
      <c r="G221" s="7" t="n">
        <v>19</v>
      </c>
    </row>
    <row r="222" customFormat="false" ht="15" hidden="false" customHeight="false" outlineLevel="0" collapsed="false">
      <c r="A222" s="9" t="n">
        <v>220</v>
      </c>
      <c r="B222" s="6" t="s">
        <v>40</v>
      </c>
      <c r="C222" s="6" t="s">
        <v>22</v>
      </c>
      <c r="D222" s="8" t="n">
        <v>0.1234</v>
      </c>
      <c r="E222" s="8" t="n">
        <v>0.0003</v>
      </c>
      <c r="F222" s="7" t="n">
        <v>8</v>
      </c>
      <c r="G222" s="7" t="n">
        <v>17</v>
      </c>
    </row>
    <row r="223" customFormat="false" ht="15" hidden="false" customHeight="false" outlineLevel="0" collapsed="false">
      <c r="A223" s="9" t="n">
        <v>221</v>
      </c>
      <c r="B223" s="6" t="s">
        <v>42</v>
      </c>
      <c r="C223" s="6" t="s">
        <v>59</v>
      </c>
      <c r="D223" s="8" t="n">
        <v>0.1233</v>
      </c>
      <c r="E223" s="8" t="n">
        <v>0.0034</v>
      </c>
      <c r="F223" s="7" t="n">
        <v>8</v>
      </c>
      <c r="G223" s="7" t="n">
        <v>5</v>
      </c>
    </row>
    <row r="224" customFormat="false" ht="15" hidden="false" customHeight="false" outlineLevel="0" collapsed="false">
      <c r="A224" s="9" t="n">
        <v>222</v>
      </c>
      <c r="B224" s="6" t="s">
        <v>47</v>
      </c>
      <c r="C224" s="6" t="s">
        <v>59</v>
      </c>
      <c r="D224" s="8" t="n">
        <v>0.1233</v>
      </c>
      <c r="E224" s="8" t="n">
        <v>0.0034</v>
      </c>
      <c r="F224" s="7" t="n">
        <v>8</v>
      </c>
      <c r="G224" s="7" t="n">
        <v>5</v>
      </c>
    </row>
    <row r="225" customFormat="false" ht="15" hidden="false" customHeight="false" outlineLevel="0" collapsed="false">
      <c r="A225" s="9" t="n">
        <v>223</v>
      </c>
      <c r="B225" s="6" t="s">
        <v>57</v>
      </c>
      <c r="C225" s="6" t="s">
        <v>153</v>
      </c>
      <c r="D225" s="8" t="n">
        <v>0.1232</v>
      </c>
      <c r="E225" s="8" t="n">
        <v>0.0007</v>
      </c>
      <c r="F225" s="7" t="n">
        <v>5</v>
      </c>
      <c r="G225" s="7" t="n">
        <v>5</v>
      </c>
    </row>
    <row r="226" customFormat="false" ht="15" hidden="false" customHeight="false" outlineLevel="0" collapsed="false">
      <c r="A226" s="9" t="n">
        <v>224</v>
      </c>
      <c r="B226" s="6" t="s">
        <v>119</v>
      </c>
      <c r="C226" s="6" t="s">
        <v>116</v>
      </c>
      <c r="D226" s="8" t="n">
        <v>0.1227</v>
      </c>
      <c r="E226" s="8" t="n">
        <v>0.0046</v>
      </c>
      <c r="F226" s="7" t="n">
        <v>7</v>
      </c>
      <c r="G226" s="7" t="n">
        <v>12</v>
      </c>
    </row>
    <row r="227" customFormat="false" ht="15" hidden="false" customHeight="false" outlineLevel="0" collapsed="false">
      <c r="A227" s="9" t="n">
        <v>225</v>
      </c>
      <c r="B227" s="6" t="s">
        <v>116</v>
      </c>
      <c r="C227" s="6" t="s">
        <v>38</v>
      </c>
      <c r="D227" s="8" t="n">
        <v>0.1225</v>
      </c>
      <c r="E227" s="8" t="n">
        <v>0.001</v>
      </c>
      <c r="F227" s="7" t="n">
        <v>6</v>
      </c>
      <c r="G227" s="7" t="n">
        <v>5</v>
      </c>
    </row>
    <row r="228" customFormat="false" ht="15" hidden="false" customHeight="false" outlineLevel="0" collapsed="false">
      <c r="A228" s="9" t="n">
        <v>226</v>
      </c>
      <c r="B228" s="6" t="s">
        <v>138</v>
      </c>
      <c r="C228" s="6" t="s">
        <v>116</v>
      </c>
      <c r="D228" s="8" t="n">
        <v>0.1218</v>
      </c>
      <c r="E228" s="8" t="n">
        <v>0.0039</v>
      </c>
      <c r="F228" s="7" t="n">
        <v>3</v>
      </c>
      <c r="G228" s="7" t="n">
        <v>5</v>
      </c>
    </row>
    <row r="229" customFormat="false" ht="15" hidden="false" customHeight="false" outlineLevel="0" collapsed="false">
      <c r="A229" s="9" t="n">
        <v>227</v>
      </c>
      <c r="B229" s="6" t="s">
        <v>104</v>
      </c>
      <c r="C229" s="6" t="s">
        <v>153</v>
      </c>
      <c r="D229" s="8" t="n">
        <v>0.1217</v>
      </c>
      <c r="E229" s="8" t="n">
        <v>0.0011</v>
      </c>
      <c r="F229" s="7" t="n">
        <v>11</v>
      </c>
      <c r="G229" s="7" t="n">
        <v>8</v>
      </c>
    </row>
    <row r="230" customFormat="false" ht="15" hidden="false" customHeight="false" outlineLevel="0" collapsed="false">
      <c r="A230" s="9" t="n">
        <v>228</v>
      </c>
      <c r="B230" s="6" t="s">
        <v>118</v>
      </c>
      <c r="C230" s="6" t="s">
        <v>107</v>
      </c>
      <c r="D230" s="8" t="n">
        <v>0.1215</v>
      </c>
      <c r="E230" s="8" t="n">
        <v>0.003</v>
      </c>
      <c r="F230" s="7" t="n">
        <v>4</v>
      </c>
      <c r="G230" s="7" t="n">
        <v>9</v>
      </c>
    </row>
    <row r="231" customFormat="false" ht="15" hidden="false" customHeight="false" outlineLevel="0" collapsed="false">
      <c r="A231" s="9" t="n">
        <v>229</v>
      </c>
      <c r="B231" s="6" t="s">
        <v>116</v>
      </c>
      <c r="C231" s="6" t="s">
        <v>42</v>
      </c>
      <c r="D231" s="8" t="n">
        <v>0.1213</v>
      </c>
      <c r="E231" s="8" t="n">
        <v>0.0004</v>
      </c>
      <c r="F231" s="7" t="n">
        <v>8</v>
      </c>
      <c r="G231" s="7" t="n">
        <v>14</v>
      </c>
    </row>
    <row r="232" customFormat="false" ht="15" hidden="false" customHeight="false" outlineLevel="0" collapsed="false">
      <c r="A232" s="9" t="n">
        <v>230</v>
      </c>
      <c r="B232" s="6" t="s">
        <v>116</v>
      </c>
      <c r="C232" s="6" t="s">
        <v>47</v>
      </c>
      <c r="D232" s="8" t="n">
        <v>0.1213</v>
      </c>
      <c r="E232" s="8" t="n">
        <v>0.0004</v>
      </c>
      <c r="F232" s="7" t="n">
        <v>8</v>
      </c>
      <c r="G232" s="7" t="n">
        <v>14</v>
      </c>
    </row>
    <row r="233" customFormat="false" ht="15" hidden="false" customHeight="false" outlineLevel="0" collapsed="false">
      <c r="A233" s="9" t="n">
        <v>231</v>
      </c>
      <c r="B233" s="6" t="s">
        <v>104</v>
      </c>
      <c r="C233" s="6" t="s">
        <v>119</v>
      </c>
      <c r="D233" s="8" t="n">
        <v>0.1211</v>
      </c>
      <c r="E233" s="8" t="n">
        <v>0.0005</v>
      </c>
      <c r="F233" s="7" t="n">
        <v>17</v>
      </c>
      <c r="G233" s="7" t="n">
        <v>29</v>
      </c>
    </row>
    <row r="234" customFormat="false" ht="15" hidden="false" customHeight="false" outlineLevel="0" collapsed="false">
      <c r="A234" s="9" t="n">
        <v>232</v>
      </c>
      <c r="B234" s="6" t="s">
        <v>87</v>
      </c>
      <c r="C234" s="6" t="s">
        <v>60</v>
      </c>
      <c r="D234" s="8" t="n">
        <v>0.1209</v>
      </c>
      <c r="E234" s="8" t="n">
        <v>0.0001</v>
      </c>
      <c r="F234" s="7" t="n">
        <v>6</v>
      </c>
      <c r="G234" s="7" t="n">
        <v>8</v>
      </c>
    </row>
    <row r="235" customFormat="false" ht="15" hidden="false" customHeight="false" outlineLevel="0" collapsed="false">
      <c r="A235" s="9" t="n">
        <v>233</v>
      </c>
      <c r="B235" s="6" t="s">
        <v>61</v>
      </c>
      <c r="C235" s="6" t="s">
        <v>58</v>
      </c>
      <c r="D235" s="8" t="n">
        <v>0.1207</v>
      </c>
      <c r="E235" s="8" t="n">
        <v>0.0012</v>
      </c>
      <c r="F235" s="7" t="n">
        <v>6</v>
      </c>
      <c r="G235" s="7" t="n">
        <v>8</v>
      </c>
    </row>
    <row r="236" customFormat="false" ht="15" hidden="false" customHeight="false" outlineLevel="0" collapsed="false">
      <c r="A236" s="9" t="n">
        <v>234</v>
      </c>
      <c r="B236" s="6" t="s">
        <v>104</v>
      </c>
      <c r="C236" s="6" t="s">
        <v>160</v>
      </c>
      <c r="D236" s="8" t="n">
        <v>0.1207</v>
      </c>
      <c r="E236" s="8" t="n">
        <v>0.0016</v>
      </c>
      <c r="F236" s="7" t="n">
        <v>12</v>
      </c>
      <c r="G236" s="7" t="n">
        <v>9</v>
      </c>
    </row>
    <row r="237" customFormat="false" ht="15" hidden="false" customHeight="false" outlineLevel="0" collapsed="false">
      <c r="A237" s="9" t="n">
        <v>235</v>
      </c>
      <c r="B237" s="6" t="s">
        <v>61</v>
      </c>
      <c r="C237" s="6" t="s">
        <v>87</v>
      </c>
      <c r="D237" s="8" t="n">
        <v>0.1199</v>
      </c>
      <c r="E237" s="8" t="n">
        <v>0.0004</v>
      </c>
      <c r="F237" s="7" t="n">
        <v>6</v>
      </c>
      <c r="G237" s="7" t="n">
        <v>8</v>
      </c>
    </row>
    <row r="238" customFormat="false" ht="15" hidden="false" customHeight="false" outlineLevel="0" collapsed="false">
      <c r="A238" s="9" t="n">
        <v>236</v>
      </c>
      <c r="B238" s="6" t="s">
        <v>121</v>
      </c>
      <c r="C238" s="6" t="s">
        <v>151</v>
      </c>
      <c r="D238" s="8" t="n">
        <v>0.1197</v>
      </c>
      <c r="E238" s="8" t="n">
        <v>0.001</v>
      </c>
      <c r="F238" s="7" t="n">
        <v>8</v>
      </c>
      <c r="G238" s="7" t="n">
        <v>8</v>
      </c>
    </row>
    <row r="239" customFormat="false" ht="15" hidden="false" customHeight="false" outlineLevel="0" collapsed="false">
      <c r="A239" s="9" t="n">
        <v>237</v>
      </c>
      <c r="B239" s="6" t="s">
        <v>123</v>
      </c>
      <c r="C239" s="6" t="s">
        <v>153</v>
      </c>
      <c r="D239" s="8" t="n">
        <v>0.1196</v>
      </c>
      <c r="E239" s="8" t="n">
        <v>0.0008</v>
      </c>
      <c r="F239" s="7" t="n">
        <v>5</v>
      </c>
      <c r="G239" s="7" t="n">
        <v>5</v>
      </c>
    </row>
    <row r="240" customFormat="false" ht="15" hidden="false" customHeight="false" outlineLevel="0" collapsed="false">
      <c r="A240" s="9" t="n">
        <v>238</v>
      </c>
      <c r="B240" s="6" t="s">
        <v>118</v>
      </c>
      <c r="C240" s="6" t="s">
        <v>78</v>
      </c>
      <c r="D240" s="8" t="n">
        <v>0.119</v>
      </c>
      <c r="E240" s="8" t="n">
        <v>0.0069</v>
      </c>
      <c r="F240" s="7" t="n">
        <v>3</v>
      </c>
      <c r="G240" s="7" t="n">
        <v>7</v>
      </c>
    </row>
    <row r="241" customFormat="false" ht="15" hidden="false" customHeight="false" outlineLevel="0" collapsed="false">
      <c r="A241" s="9" t="n">
        <v>239</v>
      </c>
      <c r="B241" s="6" t="s">
        <v>67</v>
      </c>
      <c r="C241" s="6" t="s">
        <v>35</v>
      </c>
      <c r="D241" s="8" t="n">
        <v>0.1188</v>
      </c>
      <c r="E241" s="8" t="n">
        <v>0.0004</v>
      </c>
      <c r="F241" s="7" t="n">
        <v>6</v>
      </c>
      <c r="G241" s="7" t="n">
        <v>10</v>
      </c>
    </row>
    <row r="242" customFormat="false" ht="15" hidden="false" customHeight="false" outlineLevel="0" collapsed="false">
      <c r="A242" s="9" t="n">
        <v>240</v>
      </c>
      <c r="B242" s="6" t="s">
        <v>102</v>
      </c>
      <c r="C242" s="6" t="s">
        <v>88</v>
      </c>
      <c r="D242" s="8" t="n">
        <v>0.1183</v>
      </c>
      <c r="E242" s="8" t="n">
        <v>0.0003</v>
      </c>
      <c r="F242" s="7" t="n">
        <v>14</v>
      </c>
      <c r="G242" s="7" t="n">
        <v>16</v>
      </c>
    </row>
    <row r="243" customFormat="false" ht="15" hidden="false" customHeight="false" outlineLevel="0" collapsed="false">
      <c r="A243" s="9" t="n">
        <v>241</v>
      </c>
      <c r="B243" s="6" t="s">
        <v>114</v>
      </c>
      <c r="C243" s="6" t="s">
        <v>104</v>
      </c>
      <c r="D243" s="8" t="n">
        <v>0.1178</v>
      </c>
      <c r="E243" s="8" t="n">
        <v>0.0012</v>
      </c>
      <c r="F243" s="7" t="n">
        <v>4</v>
      </c>
      <c r="G243" s="7" t="n">
        <v>10</v>
      </c>
    </row>
    <row r="244" customFormat="false" ht="15" hidden="false" customHeight="false" outlineLevel="0" collapsed="false">
      <c r="A244" s="9" t="n">
        <v>242</v>
      </c>
      <c r="B244" s="6" t="s">
        <v>127</v>
      </c>
      <c r="C244" s="6" t="s">
        <v>70</v>
      </c>
      <c r="D244" s="8" t="n">
        <v>0.1178</v>
      </c>
      <c r="E244" s="8" t="n">
        <v>0.0007</v>
      </c>
      <c r="F244" s="7" t="n">
        <v>3</v>
      </c>
      <c r="G244" s="7" t="n">
        <v>8</v>
      </c>
    </row>
    <row r="245" customFormat="false" ht="15" hidden="false" customHeight="false" outlineLevel="0" collapsed="false">
      <c r="A245" s="9" t="n">
        <v>243</v>
      </c>
      <c r="B245" s="6" t="s">
        <v>73</v>
      </c>
      <c r="C245" s="6" t="s">
        <v>134</v>
      </c>
      <c r="D245" s="8" t="n">
        <v>0.1174</v>
      </c>
      <c r="E245" s="8" t="n">
        <v>0.0001</v>
      </c>
      <c r="F245" s="7" t="n">
        <v>4</v>
      </c>
      <c r="G245" s="7" t="n">
        <v>6</v>
      </c>
    </row>
    <row r="246" customFormat="false" ht="15" hidden="false" customHeight="false" outlineLevel="0" collapsed="false">
      <c r="A246" s="9" t="n">
        <v>244</v>
      </c>
      <c r="B246" s="6" t="s">
        <v>87</v>
      </c>
      <c r="C246" s="6" t="s">
        <v>104</v>
      </c>
      <c r="D246" s="8" t="n">
        <v>0.1172</v>
      </c>
      <c r="E246" s="8" t="n">
        <v>0.0001</v>
      </c>
      <c r="F246" s="7" t="n">
        <v>6</v>
      </c>
      <c r="G246" s="7" t="n">
        <v>17</v>
      </c>
    </row>
    <row r="247" customFormat="false" ht="15" hidden="false" customHeight="false" outlineLevel="0" collapsed="false">
      <c r="A247" s="9" t="n">
        <v>245</v>
      </c>
      <c r="B247" s="6" t="s">
        <v>122</v>
      </c>
      <c r="C247" s="6" t="s">
        <v>46</v>
      </c>
      <c r="D247" s="8" t="n">
        <v>0.1169</v>
      </c>
      <c r="E247" s="8" t="n">
        <v>0.0003</v>
      </c>
      <c r="F247" s="7" t="n">
        <v>25</v>
      </c>
      <c r="G247" s="7" t="n">
        <v>67</v>
      </c>
    </row>
    <row r="248" customFormat="false" ht="15" hidden="false" customHeight="false" outlineLevel="0" collapsed="false">
      <c r="A248" s="9" t="n">
        <v>246</v>
      </c>
      <c r="B248" s="6" t="s">
        <v>104</v>
      </c>
      <c r="C248" s="6" t="s">
        <v>42</v>
      </c>
      <c r="D248" s="8" t="n">
        <v>0.1169</v>
      </c>
      <c r="E248" s="8" t="n">
        <v>0.0007</v>
      </c>
      <c r="F248" s="7" t="n">
        <v>15</v>
      </c>
      <c r="G248" s="7" t="n">
        <v>40</v>
      </c>
    </row>
    <row r="249" customFormat="false" ht="15" hidden="false" customHeight="false" outlineLevel="0" collapsed="false">
      <c r="A249" s="9" t="n">
        <v>247</v>
      </c>
      <c r="B249" s="6" t="s">
        <v>104</v>
      </c>
      <c r="C249" s="6" t="s">
        <v>47</v>
      </c>
      <c r="D249" s="8" t="n">
        <v>0.1169</v>
      </c>
      <c r="E249" s="8" t="n">
        <v>0.0007</v>
      </c>
      <c r="F249" s="7" t="n">
        <v>15</v>
      </c>
      <c r="G249" s="7" t="n">
        <v>40</v>
      </c>
    </row>
    <row r="250" customFormat="false" ht="15" hidden="false" customHeight="false" outlineLevel="0" collapsed="false">
      <c r="A250" s="9" t="n">
        <v>248</v>
      </c>
      <c r="B250" s="6" t="s">
        <v>94</v>
      </c>
      <c r="C250" s="6" t="s">
        <v>22</v>
      </c>
      <c r="D250" s="8" t="n">
        <v>0.1169</v>
      </c>
      <c r="E250" s="8" t="n">
        <v>0.0042</v>
      </c>
      <c r="F250" s="7" t="n">
        <v>6</v>
      </c>
      <c r="G250" s="7" t="n">
        <v>16</v>
      </c>
    </row>
    <row r="251" customFormat="false" ht="15" hidden="false" customHeight="false" outlineLevel="0" collapsed="false">
      <c r="A251" s="9" t="n">
        <v>249</v>
      </c>
      <c r="B251" s="6" t="s">
        <v>94</v>
      </c>
      <c r="C251" s="6" t="s">
        <v>46</v>
      </c>
      <c r="D251" s="8" t="n">
        <v>0.1162</v>
      </c>
      <c r="E251" s="8" t="n">
        <v>0.0064</v>
      </c>
      <c r="F251" s="7" t="n">
        <v>7</v>
      </c>
      <c r="G251" s="7" t="n">
        <v>14</v>
      </c>
    </row>
    <row r="252" customFormat="false" ht="15" hidden="false" customHeight="false" outlineLevel="0" collapsed="false">
      <c r="A252" s="9" t="n">
        <v>250</v>
      </c>
      <c r="B252" s="6" t="s">
        <v>57</v>
      </c>
      <c r="C252" s="6" t="s">
        <v>104</v>
      </c>
      <c r="D252" s="8" t="n">
        <v>0.1158</v>
      </c>
      <c r="E252" s="8" t="n">
        <v>0.0001</v>
      </c>
      <c r="F252" s="7" t="n">
        <v>7</v>
      </c>
      <c r="G252" s="7" t="n">
        <v>22</v>
      </c>
    </row>
    <row r="253" customFormat="false" ht="15" hidden="false" customHeight="false" outlineLevel="0" collapsed="false">
      <c r="A253" s="9" t="n">
        <v>251</v>
      </c>
      <c r="B253" s="6" t="s">
        <v>92</v>
      </c>
      <c r="C253" s="6" t="s">
        <v>159</v>
      </c>
      <c r="D253" s="8" t="n">
        <v>0.1154</v>
      </c>
      <c r="E253" s="8" t="n">
        <v>0.0012</v>
      </c>
      <c r="F253" s="7" t="n">
        <v>5</v>
      </c>
      <c r="G253" s="7" t="n">
        <v>6</v>
      </c>
    </row>
    <row r="254" customFormat="false" ht="15" hidden="false" customHeight="false" outlineLevel="0" collapsed="false">
      <c r="A254" s="9" t="n">
        <v>252</v>
      </c>
      <c r="B254" s="6" t="s">
        <v>67</v>
      </c>
      <c r="C254" s="6" t="s">
        <v>119</v>
      </c>
      <c r="D254" s="8" t="n">
        <v>0.1151</v>
      </c>
      <c r="E254" s="8" t="n">
        <v>0.0007</v>
      </c>
      <c r="F254" s="7" t="n">
        <v>9</v>
      </c>
      <c r="G254" s="7" t="n">
        <v>8</v>
      </c>
    </row>
    <row r="255" customFormat="false" ht="15" hidden="false" customHeight="false" outlineLevel="0" collapsed="false">
      <c r="A255" s="9" t="n">
        <v>253</v>
      </c>
      <c r="B255" s="6" t="s">
        <v>46</v>
      </c>
      <c r="C255" s="6" t="s">
        <v>94</v>
      </c>
      <c r="D255" s="8" t="n">
        <v>0.115</v>
      </c>
      <c r="E255" s="8" t="n">
        <v>0.0071</v>
      </c>
      <c r="F255" s="7" t="n">
        <v>10</v>
      </c>
      <c r="G255" s="7" t="n">
        <v>14</v>
      </c>
    </row>
    <row r="256" customFormat="false" ht="15" hidden="false" customHeight="false" outlineLevel="0" collapsed="false">
      <c r="A256" s="9" t="n">
        <v>254</v>
      </c>
      <c r="B256" s="6" t="s">
        <v>42</v>
      </c>
      <c r="C256" s="6" t="s">
        <v>45</v>
      </c>
      <c r="D256" s="8" t="n">
        <v>0.1144</v>
      </c>
      <c r="E256" s="8" t="n">
        <v>0.004</v>
      </c>
      <c r="F256" s="7" t="n">
        <v>9</v>
      </c>
      <c r="G256" s="7" t="n">
        <v>11</v>
      </c>
    </row>
    <row r="257" customFormat="false" ht="15" hidden="false" customHeight="false" outlineLevel="0" collapsed="false">
      <c r="A257" s="9" t="n">
        <v>255</v>
      </c>
      <c r="B257" s="6" t="s">
        <v>47</v>
      </c>
      <c r="C257" s="6" t="s">
        <v>45</v>
      </c>
      <c r="D257" s="8" t="n">
        <v>0.1144</v>
      </c>
      <c r="E257" s="8" t="n">
        <v>0.004</v>
      </c>
      <c r="F257" s="7" t="n">
        <v>9</v>
      </c>
      <c r="G257" s="7" t="n">
        <v>11</v>
      </c>
    </row>
    <row r="258" customFormat="false" ht="15" hidden="false" customHeight="false" outlineLevel="0" collapsed="false">
      <c r="A258" s="9" t="n">
        <v>256</v>
      </c>
      <c r="B258" s="6" t="s">
        <v>123</v>
      </c>
      <c r="C258" s="6" t="s">
        <v>138</v>
      </c>
      <c r="D258" s="8" t="n">
        <v>0.1143</v>
      </c>
      <c r="E258" s="8" t="n">
        <v>0.0005</v>
      </c>
      <c r="F258" s="7" t="n">
        <v>7</v>
      </c>
      <c r="G258" s="7" t="n">
        <v>6</v>
      </c>
    </row>
    <row r="259" customFormat="false" ht="15" hidden="false" customHeight="false" outlineLevel="0" collapsed="false">
      <c r="A259" s="9" t="n">
        <v>257</v>
      </c>
      <c r="B259" s="6" t="s">
        <v>58</v>
      </c>
      <c r="C259" s="6" t="s">
        <v>153</v>
      </c>
      <c r="D259" s="8" t="n">
        <v>0.1141</v>
      </c>
      <c r="E259" s="8" t="n">
        <v>0.0013</v>
      </c>
      <c r="F259" s="7" t="n">
        <v>5</v>
      </c>
      <c r="G259" s="7" t="n">
        <v>5</v>
      </c>
    </row>
    <row r="260" customFormat="false" ht="15" hidden="false" customHeight="false" outlineLevel="0" collapsed="false">
      <c r="A260" s="9" t="n">
        <v>258</v>
      </c>
      <c r="B260" s="6" t="s">
        <v>116</v>
      </c>
      <c r="C260" s="6" t="s">
        <v>134</v>
      </c>
      <c r="D260" s="8" t="n">
        <v>0.1139</v>
      </c>
      <c r="E260" s="8" t="n">
        <v>0.0007</v>
      </c>
      <c r="F260" s="7" t="n">
        <v>11</v>
      </c>
      <c r="G260" s="7" t="n">
        <v>16</v>
      </c>
    </row>
    <row r="261" customFormat="false" ht="15" hidden="false" customHeight="false" outlineLevel="0" collapsed="false">
      <c r="A261" s="9" t="n">
        <v>259</v>
      </c>
      <c r="B261" s="6" t="s">
        <v>73</v>
      </c>
      <c r="C261" s="6" t="s">
        <v>67</v>
      </c>
      <c r="D261" s="8" t="n">
        <v>0.1137</v>
      </c>
      <c r="E261" s="8" t="n">
        <v>0.0009</v>
      </c>
      <c r="F261" s="7" t="n">
        <v>4</v>
      </c>
      <c r="G261" s="7" t="n">
        <v>6</v>
      </c>
    </row>
    <row r="262" customFormat="false" ht="15" hidden="false" customHeight="false" outlineLevel="0" collapsed="false">
      <c r="A262" s="9" t="n">
        <v>260</v>
      </c>
      <c r="B262" s="6" t="s">
        <v>57</v>
      </c>
      <c r="C262" s="6" t="s">
        <v>119</v>
      </c>
      <c r="D262" s="8" t="n">
        <v>0.1136</v>
      </c>
      <c r="E262" s="8" t="n">
        <v>0.0002</v>
      </c>
      <c r="F262" s="7" t="n">
        <v>7</v>
      </c>
      <c r="G262" s="7" t="n">
        <v>8</v>
      </c>
    </row>
    <row r="263" customFormat="false" ht="15" hidden="false" customHeight="false" outlineLevel="0" collapsed="false">
      <c r="A263" s="9" t="n">
        <v>261</v>
      </c>
      <c r="B263" s="6" t="s">
        <v>116</v>
      </c>
      <c r="C263" s="6" t="s">
        <v>92</v>
      </c>
      <c r="D263" s="8" t="n">
        <v>0.1128</v>
      </c>
      <c r="E263" s="8" t="n">
        <v>0.0011</v>
      </c>
      <c r="F263" s="7" t="n">
        <v>12</v>
      </c>
      <c r="G263" s="7" t="n">
        <v>9</v>
      </c>
    </row>
    <row r="264" customFormat="false" ht="15" hidden="false" customHeight="false" outlineLevel="0" collapsed="false">
      <c r="A264" s="9" t="n">
        <v>262</v>
      </c>
      <c r="B264" s="6" t="s">
        <v>123</v>
      </c>
      <c r="C264" s="6" t="s">
        <v>118</v>
      </c>
      <c r="D264" s="8" t="n">
        <v>0.1123</v>
      </c>
      <c r="E264" s="8" t="n">
        <v>0.0005</v>
      </c>
      <c r="F264" s="7" t="n">
        <v>5</v>
      </c>
      <c r="G264" s="7" t="n">
        <v>6</v>
      </c>
    </row>
    <row r="265" customFormat="false" ht="15" hidden="false" customHeight="false" outlineLevel="0" collapsed="false">
      <c r="A265" s="9" t="n">
        <v>263</v>
      </c>
      <c r="B265" s="6" t="s">
        <v>118</v>
      </c>
      <c r="C265" s="6" t="s">
        <v>125</v>
      </c>
      <c r="D265" s="8" t="n">
        <v>0.1121</v>
      </c>
      <c r="E265" s="8" t="n">
        <v>0.0034</v>
      </c>
      <c r="F265" s="7" t="n">
        <v>4</v>
      </c>
      <c r="G265" s="7" t="n">
        <v>8</v>
      </c>
    </row>
    <row r="266" customFormat="false" ht="15" hidden="false" customHeight="false" outlineLevel="0" collapsed="false">
      <c r="A266" s="9" t="n">
        <v>264</v>
      </c>
      <c r="B266" s="6" t="s">
        <v>40</v>
      </c>
      <c r="C266" s="6" t="s">
        <v>122</v>
      </c>
      <c r="D266" s="8" t="n">
        <v>0.1119</v>
      </c>
      <c r="E266" s="8" t="n">
        <v>0.0002</v>
      </c>
      <c r="F266" s="7" t="n">
        <v>4</v>
      </c>
      <c r="G266" s="7" t="n">
        <v>23</v>
      </c>
    </row>
    <row r="267" customFormat="false" ht="15" hidden="false" customHeight="false" outlineLevel="0" collapsed="false">
      <c r="A267" s="9" t="n">
        <v>265</v>
      </c>
      <c r="B267" s="6" t="s">
        <v>61</v>
      </c>
      <c r="C267" s="6" t="s">
        <v>123</v>
      </c>
      <c r="D267" s="8" t="n">
        <v>0.1118</v>
      </c>
      <c r="E267" s="8" t="n">
        <v>0.0012</v>
      </c>
      <c r="F267" s="7" t="n">
        <v>7</v>
      </c>
      <c r="G267" s="7" t="n">
        <v>13</v>
      </c>
    </row>
    <row r="268" customFormat="false" ht="15" hidden="false" customHeight="false" outlineLevel="0" collapsed="false">
      <c r="A268" s="9" t="n">
        <v>266</v>
      </c>
      <c r="B268" s="6" t="s">
        <v>104</v>
      </c>
      <c r="C268" s="6" t="s">
        <v>45</v>
      </c>
      <c r="D268" s="8" t="n">
        <v>0.1117</v>
      </c>
      <c r="E268" s="8" t="n">
        <v>0.0008</v>
      </c>
      <c r="F268" s="7" t="n">
        <v>17</v>
      </c>
      <c r="G268" s="7" t="n">
        <v>51</v>
      </c>
    </row>
    <row r="269" customFormat="false" ht="15" hidden="false" customHeight="false" outlineLevel="0" collapsed="false">
      <c r="A269" s="9" t="n">
        <v>267</v>
      </c>
      <c r="B269" s="6" t="s">
        <v>114</v>
      </c>
      <c r="C269" s="6" t="s">
        <v>43</v>
      </c>
      <c r="D269" s="8" t="n">
        <v>0.1117</v>
      </c>
      <c r="E269" s="8" t="n">
        <v>0.0036</v>
      </c>
      <c r="F269" s="7" t="n">
        <v>3</v>
      </c>
      <c r="G269" s="7" t="n">
        <v>5</v>
      </c>
    </row>
    <row r="270" customFormat="false" ht="15" hidden="false" customHeight="false" outlineLevel="0" collapsed="false">
      <c r="A270" s="9" t="n">
        <v>268</v>
      </c>
      <c r="B270" s="6" t="s">
        <v>104</v>
      </c>
      <c r="C270" s="6" t="s">
        <v>102</v>
      </c>
      <c r="D270" s="8" t="n">
        <v>0.1109</v>
      </c>
      <c r="E270" s="8" t="n">
        <v>0.0017</v>
      </c>
      <c r="F270" s="7" t="n">
        <v>15</v>
      </c>
      <c r="G270" s="7" t="n">
        <v>125</v>
      </c>
    </row>
    <row r="271" customFormat="false" ht="15" hidden="false" customHeight="false" outlineLevel="0" collapsed="false">
      <c r="A271" s="9" t="n">
        <v>269</v>
      </c>
      <c r="B271" s="6" t="s">
        <v>118</v>
      </c>
      <c r="C271" s="6" t="s">
        <v>84</v>
      </c>
      <c r="D271" s="8" t="n">
        <v>0.1108</v>
      </c>
      <c r="E271" s="8" t="n">
        <v>0.0058</v>
      </c>
      <c r="F271" s="7" t="n">
        <v>3</v>
      </c>
      <c r="G271" s="7" t="n">
        <v>8</v>
      </c>
    </row>
    <row r="272" customFormat="false" ht="15" hidden="false" customHeight="false" outlineLevel="0" collapsed="false">
      <c r="A272" s="9" t="n">
        <v>270</v>
      </c>
      <c r="B272" s="6" t="s">
        <v>88</v>
      </c>
      <c r="C272" s="6" t="s">
        <v>74</v>
      </c>
      <c r="D272" s="8" t="n">
        <v>0.1097</v>
      </c>
      <c r="E272" s="8" t="n">
        <v>0.0031</v>
      </c>
      <c r="F272" s="7" t="n">
        <v>4</v>
      </c>
      <c r="G272" s="7" t="n">
        <v>19</v>
      </c>
    </row>
    <row r="273" customFormat="false" ht="15" hidden="false" customHeight="false" outlineLevel="0" collapsed="false">
      <c r="A273" s="9" t="n">
        <v>271</v>
      </c>
      <c r="B273" s="6" t="s">
        <v>40</v>
      </c>
      <c r="C273" s="6" t="s">
        <v>119</v>
      </c>
      <c r="D273" s="8" t="n">
        <v>0.1095</v>
      </c>
      <c r="E273" s="8" t="n">
        <v>0.0035</v>
      </c>
      <c r="F273" s="7" t="n">
        <v>7</v>
      </c>
      <c r="G273" s="7" t="n">
        <v>5</v>
      </c>
    </row>
    <row r="274" customFormat="false" ht="15" hidden="false" customHeight="false" outlineLevel="0" collapsed="false">
      <c r="A274" s="9" t="n">
        <v>272</v>
      </c>
      <c r="B274" s="6" t="s">
        <v>67</v>
      </c>
      <c r="C274" s="6" t="s">
        <v>116</v>
      </c>
      <c r="D274" s="8" t="n">
        <v>0.1095</v>
      </c>
      <c r="E274" s="8" t="n">
        <v>0.0003</v>
      </c>
      <c r="F274" s="7" t="n">
        <v>8</v>
      </c>
      <c r="G274" s="7" t="n">
        <v>9</v>
      </c>
    </row>
    <row r="275" customFormat="false" ht="15" hidden="false" customHeight="false" outlineLevel="0" collapsed="false">
      <c r="A275" s="9" t="n">
        <v>273</v>
      </c>
      <c r="B275" s="6" t="s">
        <v>116</v>
      </c>
      <c r="C275" s="6" t="s">
        <v>104</v>
      </c>
      <c r="D275" s="8" t="n">
        <v>0.1094</v>
      </c>
      <c r="E275" s="8" t="n">
        <v>0.0003</v>
      </c>
      <c r="F275" s="7" t="n">
        <v>9</v>
      </c>
      <c r="G275" s="7" t="n">
        <v>47</v>
      </c>
    </row>
    <row r="276" customFormat="false" ht="15" hidden="false" customHeight="false" outlineLevel="0" collapsed="false">
      <c r="A276" s="9" t="n">
        <v>274</v>
      </c>
      <c r="B276" s="6" t="s">
        <v>87</v>
      </c>
      <c r="C276" s="6" t="s">
        <v>88</v>
      </c>
      <c r="D276" s="8" t="n">
        <v>0.1093</v>
      </c>
      <c r="E276" s="8" t="n">
        <v>0.0003</v>
      </c>
      <c r="F276" s="7" t="n">
        <v>3</v>
      </c>
      <c r="G276" s="7" t="n">
        <v>6</v>
      </c>
    </row>
    <row r="277" customFormat="false" ht="15" hidden="false" customHeight="false" outlineLevel="0" collapsed="false">
      <c r="A277" s="9" t="n">
        <v>275</v>
      </c>
      <c r="B277" s="6" t="s">
        <v>57</v>
      </c>
      <c r="C277" s="6" t="s">
        <v>118</v>
      </c>
      <c r="D277" s="8" t="n">
        <v>0.1089</v>
      </c>
      <c r="E277" s="8" t="n">
        <v>0.0019</v>
      </c>
      <c r="F277" s="7" t="n">
        <v>5</v>
      </c>
      <c r="G277" s="7" t="n">
        <v>6</v>
      </c>
    </row>
    <row r="278" customFormat="false" ht="15" hidden="false" customHeight="false" outlineLevel="0" collapsed="false">
      <c r="A278" s="9" t="n">
        <v>276</v>
      </c>
      <c r="B278" s="6" t="s">
        <v>113</v>
      </c>
      <c r="C278" s="6" t="s">
        <v>104</v>
      </c>
      <c r="D278" s="8" t="n">
        <v>0.1084</v>
      </c>
      <c r="E278" s="8" t="n">
        <v>0.0009</v>
      </c>
      <c r="F278" s="7" t="n">
        <v>20</v>
      </c>
      <c r="G278" s="7" t="n">
        <v>161</v>
      </c>
    </row>
    <row r="279" customFormat="false" ht="15" hidden="false" customHeight="false" outlineLevel="0" collapsed="false">
      <c r="A279" s="9" t="n">
        <v>277</v>
      </c>
      <c r="B279" s="6" t="s">
        <v>73</v>
      </c>
      <c r="C279" s="6" t="s">
        <v>61</v>
      </c>
      <c r="D279" s="8" t="n">
        <v>0.1081</v>
      </c>
      <c r="E279" s="8" t="n">
        <v>0.0021</v>
      </c>
      <c r="F279" s="7" t="n">
        <v>4</v>
      </c>
      <c r="G279" s="7" t="n">
        <v>6</v>
      </c>
    </row>
    <row r="280" customFormat="false" ht="15" hidden="false" customHeight="false" outlineLevel="0" collapsed="false">
      <c r="A280" s="9" t="n">
        <v>278</v>
      </c>
      <c r="B280" s="6" t="s">
        <v>122</v>
      </c>
      <c r="C280" s="6" t="s">
        <v>104</v>
      </c>
      <c r="D280" s="8" t="n">
        <v>0.1077</v>
      </c>
      <c r="E280" s="8" t="n">
        <v>0.0045</v>
      </c>
      <c r="F280" s="7" t="n">
        <v>20</v>
      </c>
      <c r="G280" s="7" t="n">
        <v>202</v>
      </c>
    </row>
    <row r="281" customFormat="false" ht="15" hidden="false" customHeight="false" outlineLevel="0" collapsed="false">
      <c r="A281" s="9" t="n">
        <v>279</v>
      </c>
      <c r="B281" s="6" t="s">
        <v>83</v>
      </c>
      <c r="C281" s="6" t="s">
        <v>94</v>
      </c>
      <c r="D281" s="8" t="n">
        <v>0.1076</v>
      </c>
      <c r="E281" s="8" t="n">
        <v>0.0035</v>
      </c>
      <c r="F281" s="7" t="n">
        <v>6</v>
      </c>
      <c r="G281" s="7" t="n">
        <v>7</v>
      </c>
    </row>
    <row r="282" customFormat="false" ht="15" hidden="false" customHeight="false" outlineLevel="0" collapsed="false">
      <c r="A282" s="9" t="n">
        <v>280</v>
      </c>
      <c r="B282" s="6" t="s">
        <v>101</v>
      </c>
      <c r="C282" s="6" t="s">
        <v>22</v>
      </c>
      <c r="D282" s="8" t="n">
        <v>0.1073</v>
      </c>
      <c r="E282" s="8" t="n">
        <v>0.0022</v>
      </c>
      <c r="F282" s="7" t="n">
        <v>9</v>
      </c>
      <c r="G282" s="7" t="n">
        <v>18</v>
      </c>
    </row>
    <row r="283" customFormat="false" ht="15" hidden="false" customHeight="false" outlineLevel="0" collapsed="false">
      <c r="A283" s="9" t="n">
        <v>281</v>
      </c>
      <c r="B283" s="6" t="s">
        <v>61</v>
      </c>
      <c r="C283" s="6" t="s">
        <v>118</v>
      </c>
      <c r="D283" s="8" t="n">
        <v>0.1071</v>
      </c>
      <c r="E283" s="8" t="n">
        <v>0.0018</v>
      </c>
      <c r="F283" s="7" t="n">
        <v>5</v>
      </c>
      <c r="G283" s="7" t="n">
        <v>7</v>
      </c>
    </row>
    <row r="284" customFormat="false" ht="15" hidden="false" customHeight="false" outlineLevel="0" collapsed="false">
      <c r="A284" s="9" t="n">
        <v>282</v>
      </c>
      <c r="B284" s="6" t="s">
        <v>113</v>
      </c>
      <c r="C284" s="6" t="s">
        <v>94</v>
      </c>
      <c r="D284" s="8" t="n">
        <v>0.1068</v>
      </c>
      <c r="E284" s="8" t="n">
        <v>0.0022</v>
      </c>
      <c r="F284" s="7" t="n">
        <v>16</v>
      </c>
      <c r="G284" s="7" t="n">
        <v>21</v>
      </c>
    </row>
    <row r="285" customFormat="false" ht="15" hidden="false" customHeight="false" outlineLevel="0" collapsed="false">
      <c r="A285" s="9" t="n">
        <v>283</v>
      </c>
      <c r="B285" s="6" t="s">
        <v>92</v>
      </c>
      <c r="C285" s="6" t="s">
        <v>160</v>
      </c>
      <c r="D285" s="8" t="n">
        <v>0.1063</v>
      </c>
      <c r="E285" s="8" t="n">
        <v>0.0032</v>
      </c>
      <c r="F285" s="7" t="n">
        <v>5</v>
      </c>
      <c r="G285" s="7" t="n">
        <v>8</v>
      </c>
    </row>
    <row r="286" customFormat="false" ht="15" hidden="false" customHeight="false" outlineLevel="0" collapsed="false">
      <c r="A286" s="9" t="n">
        <v>284</v>
      </c>
      <c r="B286" s="6" t="s">
        <v>117</v>
      </c>
      <c r="C286" s="6" t="s">
        <v>77</v>
      </c>
      <c r="D286" s="8" t="n">
        <v>0.1062</v>
      </c>
      <c r="E286" s="8" t="n">
        <v>0.0034</v>
      </c>
      <c r="F286" s="7" t="n">
        <v>17</v>
      </c>
      <c r="G286" s="7" t="n">
        <v>53</v>
      </c>
    </row>
    <row r="287" customFormat="false" ht="15" hidden="false" customHeight="false" outlineLevel="0" collapsed="false">
      <c r="A287" s="9" t="n">
        <v>285</v>
      </c>
      <c r="B287" s="6" t="s">
        <v>61</v>
      </c>
      <c r="C287" s="6" t="s">
        <v>138</v>
      </c>
      <c r="D287" s="8" t="n">
        <v>0.1059</v>
      </c>
      <c r="E287" s="8" t="n">
        <v>0.0021</v>
      </c>
      <c r="F287" s="7" t="n">
        <v>7</v>
      </c>
      <c r="G287" s="7" t="n">
        <v>6</v>
      </c>
    </row>
    <row r="288" customFormat="false" ht="15" hidden="false" customHeight="false" outlineLevel="0" collapsed="false">
      <c r="A288" s="9" t="n">
        <v>286</v>
      </c>
      <c r="B288" s="6" t="s">
        <v>116</v>
      </c>
      <c r="C288" s="6" t="s">
        <v>67</v>
      </c>
      <c r="D288" s="8" t="n">
        <v>0.1052</v>
      </c>
      <c r="E288" s="8" t="n">
        <v>0.0027</v>
      </c>
      <c r="F288" s="7" t="n">
        <v>9</v>
      </c>
      <c r="G288" s="7" t="n">
        <v>9</v>
      </c>
    </row>
    <row r="289" customFormat="false" ht="15" hidden="false" customHeight="false" outlineLevel="0" collapsed="false">
      <c r="A289" s="9" t="n">
        <v>287</v>
      </c>
      <c r="B289" s="6" t="s">
        <v>61</v>
      </c>
      <c r="C289" s="6" t="s">
        <v>56</v>
      </c>
      <c r="D289" s="8" t="n">
        <v>0.105</v>
      </c>
      <c r="E289" s="8" t="n">
        <v>0.003</v>
      </c>
      <c r="F289" s="7" t="n">
        <v>6</v>
      </c>
      <c r="G289" s="7" t="n">
        <v>6</v>
      </c>
    </row>
    <row r="290" customFormat="false" ht="15" hidden="false" customHeight="false" outlineLevel="0" collapsed="false">
      <c r="A290" s="9" t="n">
        <v>288</v>
      </c>
      <c r="B290" s="6" t="s">
        <v>116</v>
      </c>
      <c r="C290" s="6" t="s">
        <v>107</v>
      </c>
      <c r="D290" s="8" t="n">
        <v>0.1047</v>
      </c>
      <c r="E290" s="8" t="n">
        <v>0.0028</v>
      </c>
      <c r="F290" s="7" t="n">
        <v>8</v>
      </c>
      <c r="G290" s="7" t="n">
        <v>12</v>
      </c>
    </row>
    <row r="291" customFormat="false" ht="15" hidden="false" customHeight="false" outlineLevel="0" collapsed="false">
      <c r="A291" s="9" t="n">
        <v>289</v>
      </c>
      <c r="B291" s="6" t="s">
        <v>113</v>
      </c>
      <c r="C291" s="6" t="s">
        <v>161</v>
      </c>
      <c r="D291" s="8" t="n">
        <v>0.1046</v>
      </c>
      <c r="E291" s="8" t="n">
        <v>0.0066</v>
      </c>
      <c r="F291" s="7" t="n">
        <v>12</v>
      </c>
      <c r="G291" s="7" t="n">
        <v>5</v>
      </c>
    </row>
    <row r="292" customFormat="false" ht="15" hidden="false" customHeight="false" outlineLevel="0" collapsed="false">
      <c r="A292" s="9" t="n">
        <v>290</v>
      </c>
      <c r="B292" s="6" t="s">
        <v>73</v>
      </c>
      <c r="C292" s="6" t="s">
        <v>118</v>
      </c>
      <c r="D292" s="8" t="n">
        <v>0.1042</v>
      </c>
      <c r="E292" s="8" t="n">
        <v>0.0033</v>
      </c>
      <c r="F292" s="7" t="n">
        <v>5</v>
      </c>
      <c r="G292" s="7" t="n">
        <v>6</v>
      </c>
    </row>
    <row r="293" customFormat="false" ht="15" hidden="false" customHeight="false" outlineLevel="0" collapsed="false">
      <c r="A293" s="9" t="n">
        <v>291</v>
      </c>
      <c r="B293" s="6" t="s">
        <v>123</v>
      </c>
      <c r="C293" s="6" t="s">
        <v>35</v>
      </c>
      <c r="D293" s="8" t="n">
        <v>0.1041</v>
      </c>
      <c r="E293" s="8" t="n">
        <v>0.0004</v>
      </c>
      <c r="F293" s="7" t="n">
        <v>6</v>
      </c>
      <c r="G293" s="7" t="n">
        <v>8</v>
      </c>
    </row>
    <row r="294" customFormat="false" ht="15" hidden="false" customHeight="false" outlineLevel="0" collapsed="false">
      <c r="A294" s="9" t="n">
        <v>292</v>
      </c>
      <c r="B294" s="6" t="s">
        <v>57</v>
      </c>
      <c r="C294" s="6" t="s">
        <v>92</v>
      </c>
      <c r="D294" s="8" t="n">
        <v>0.1036</v>
      </c>
      <c r="E294" s="8" t="n">
        <v>0.0013</v>
      </c>
      <c r="F294" s="7" t="n">
        <v>6</v>
      </c>
      <c r="G294" s="7" t="n">
        <v>14</v>
      </c>
    </row>
    <row r="295" customFormat="false" ht="15" hidden="false" customHeight="false" outlineLevel="0" collapsed="false">
      <c r="A295" s="9" t="n">
        <v>293</v>
      </c>
      <c r="B295" s="6" t="s">
        <v>113</v>
      </c>
      <c r="C295" s="6" t="s">
        <v>92</v>
      </c>
      <c r="D295" s="8" t="n">
        <v>0.1036</v>
      </c>
      <c r="E295" s="8" t="n">
        <v>0.0049</v>
      </c>
      <c r="F295" s="7" t="n">
        <v>19</v>
      </c>
      <c r="G295" s="7" t="n">
        <v>19</v>
      </c>
    </row>
    <row r="296" customFormat="false" ht="15" hidden="false" customHeight="false" outlineLevel="0" collapsed="false">
      <c r="A296" s="9" t="n">
        <v>294</v>
      </c>
      <c r="B296" s="6" t="s">
        <v>114</v>
      </c>
      <c r="C296" s="6" t="s">
        <v>122</v>
      </c>
      <c r="D296" s="8" t="n">
        <v>0.1024</v>
      </c>
      <c r="E296" s="8" t="n">
        <v>0.0019</v>
      </c>
      <c r="F296" s="7" t="n">
        <v>3</v>
      </c>
      <c r="G296" s="7" t="n">
        <v>9</v>
      </c>
    </row>
    <row r="297" customFormat="false" ht="15" hidden="false" customHeight="false" outlineLevel="0" collapsed="false">
      <c r="A297" s="9" t="n">
        <v>295</v>
      </c>
      <c r="B297" s="6" t="s">
        <v>122</v>
      </c>
      <c r="C297" s="6" t="s">
        <v>35</v>
      </c>
      <c r="D297" s="8" t="n">
        <v>0.1015</v>
      </c>
      <c r="E297" s="8" t="n">
        <v>0.0004</v>
      </c>
      <c r="F297" s="7" t="n">
        <v>22</v>
      </c>
      <c r="G297" s="7" t="n">
        <v>39</v>
      </c>
    </row>
    <row r="298" customFormat="false" ht="15" hidden="false" customHeight="false" outlineLevel="0" collapsed="false">
      <c r="A298" s="9" t="n">
        <v>296</v>
      </c>
      <c r="B298" s="6" t="s">
        <v>116</v>
      </c>
      <c r="C298" s="6" t="s">
        <v>119</v>
      </c>
      <c r="D298" s="8" t="n">
        <v>0.1014</v>
      </c>
      <c r="E298" s="8" t="n">
        <v>0.0035</v>
      </c>
      <c r="F298" s="7" t="n">
        <v>9</v>
      </c>
      <c r="G298" s="7" t="n">
        <v>12</v>
      </c>
    </row>
    <row r="299" customFormat="false" ht="15" hidden="false" customHeight="false" outlineLevel="0" collapsed="false">
      <c r="A299" s="9" t="n">
        <v>297</v>
      </c>
      <c r="B299" s="6" t="s">
        <v>92</v>
      </c>
      <c r="C299" s="6" t="s">
        <v>67</v>
      </c>
      <c r="D299" s="8" t="n">
        <v>0.1013</v>
      </c>
      <c r="E299" s="8" t="n">
        <v>0.001</v>
      </c>
      <c r="F299" s="7" t="n">
        <v>6</v>
      </c>
      <c r="G299" s="7" t="n">
        <v>11</v>
      </c>
    </row>
    <row r="300" customFormat="false" ht="15" hidden="false" customHeight="false" outlineLevel="0" collapsed="false">
      <c r="A300" s="9" t="n">
        <v>298</v>
      </c>
      <c r="B300" s="6" t="s">
        <v>104</v>
      </c>
      <c r="C300" s="6" t="s">
        <v>122</v>
      </c>
      <c r="D300" s="8" t="n">
        <v>0.1009</v>
      </c>
      <c r="E300" s="8" t="n">
        <v>0.0051</v>
      </c>
      <c r="F300" s="7" t="n">
        <v>8</v>
      </c>
      <c r="G300" s="7" t="n">
        <v>202</v>
      </c>
    </row>
    <row r="301" customFormat="false" ht="15" hidden="false" customHeight="false" outlineLevel="0" collapsed="false">
      <c r="A301" s="9" t="n">
        <v>299</v>
      </c>
      <c r="B301" s="6" t="s">
        <v>133</v>
      </c>
      <c r="C301" s="6" t="s">
        <v>132</v>
      </c>
      <c r="D301" s="8" t="n">
        <v>0.1009</v>
      </c>
      <c r="E301" s="8" t="n">
        <v>0.0048</v>
      </c>
      <c r="F301" s="7" t="n">
        <v>15</v>
      </c>
      <c r="G301" s="7" t="n">
        <v>12</v>
      </c>
    </row>
    <row r="302" customFormat="false" ht="15" hidden="false" customHeight="false" outlineLevel="0" collapsed="false">
      <c r="A302" s="9" t="n">
        <v>300</v>
      </c>
      <c r="B302" s="6" t="s">
        <v>102</v>
      </c>
      <c r="C302" s="6" t="s">
        <v>104</v>
      </c>
      <c r="D302" s="8" t="n">
        <v>0.1002</v>
      </c>
      <c r="E302" s="8" t="n">
        <v>0.003</v>
      </c>
      <c r="F302" s="7" t="n">
        <v>19</v>
      </c>
      <c r="G302" s="7" t="n">
        <v>125</v>
      </c>
    </row>
    <row r="303" customFormat="false" ht="15" hidden="false" customHeight="false" outlineLevel="0" collapsed="false">
      <c r="A303" s="9" t="n">
        <v>301</v>
      </c>
      <c r="B303" s="6" t="s">
        <v>123</v>
      </c>
      <c r="C303" s="6" t="s">
        <v>57</v>
      </c>
      <c r="D303" s="8" t="n">
        <v>0.1001</v>
      </c>
      <c r="E303" s="8" t="n">
        <v>0.0018</v>
      </c>
      <c r="F303" s="7" t="n">
        <v>6</v>
      </c>
      <c r="G303" s="7" t="n">
        <v>10</v>
      </c>
    </row>
    <row r="304" customFormat="false" ht="15" hidden="false" customHeight="false" outlineLevel="0" collapsed="false">
      <c r="A304" s="9" t="n">
        <v>302</v>
      </c>
      <c r="B304" s="6" t="s">
        <v>40</v>
      </c>
      <c r="C304" s="6" t="s">
        <v>60</v>
      </c>
      <c r="D304" s="8" t="n">
        <v>0.0997</v>
      </c>
      <c r="E304" s="8" t="n">
        <v>0.004</v>
      </c>
      <c r="F304" s="7" t="n">
        <v>5</v>
      </c>
      <c r="G304" s="7" t="n">
        <v>8</v>
      </c>
    </row>
    <row r="305" customFormat="false" ht="15" hidden="false" customHeight="false" outlineLevel="0" collapsed="false">
      <c r="A305" s="9" t="n">
        <v>303</v>
      </c>
      <c r="B305" s="6" t="s">
        <v>92</v>
      </c>
      <c r="C305" s="6" t="s">
        <v>78</v>
      </c>
      <c r="D305" s="8" t="n">
        <v>0.0997</v>
      </c>
      <c r="E305" s="8" t="n">
        <v>0.0029</v>
      </c>
      <c r="F305" s="7" t="n">
        <v>7</v>
      </c>
      <c r="G305" s="7" t="n">
        <v>12</v>
      </c>
    </row>
    <row r="306" customFormat="false" ht="15" hidden="false" customHeight="false" outlineLevel="0" collapsed="false">
      <c r="A306" s="9" t="n">
        <v>304</v>
      </c>
      <c r="B306" s="6" t="s">
        <v>88</v>
      </c>
      <c r="C306" s="6" t="s">
        <v>117</v>
      </c>
      <c r="D306" s="8" t="n">
        <v>0.0995</v>
      </c>
      <c r="E306" s="8" t="n">
        <v>0.0039</v>
      </c>
      <c r="F306" s="7" t="n">
        <v>8</v>
      </c>
      <c r="G306" s="7" t="n">
        <v>22</v>
      </c>
    </row>
    <row r="307" customFormat="false" ht="15" hidden="false" customHeight="false" outlineLevel="0" collapsed="false">
      <c r="A307" s="9" t="n">
        <v>305</v>
      </c>
      <c r="B307" s="6" t="s">
        <v>89</v>
      </c>
      <c r="C307" s="6" t="s">
        <v>35</v>
      </c>
      <c r="D307" s="8" t="n">
        <v>0.0991</v>
      </c>
      <c r="E307" s="8" t="n">
        <v>0.0035</v>
      </c>
      <c r="F307" s="7" t="n">
        <v>4</v>
      </c>
      <c r="G307" s="7" t="n">
        <v>5</v>
      </c>
    </row>
    <row r="308" customFormat="false" ht="15" hidden="false" customHeight="false" outlineLevel="0" collapsed="false">
      <c r="A308" s="9" t="n">
        <v>306</v>
      </c>
      <c r="B308" s="6" t="s">
        <v>113</v>
      </c>
      <c r="C308" s="6" t="s">
        <v>103</v>
      </c>
      <c r="D308" s="8" t="n">
        <v>0.0991</v>
      </c>
      <c r="E308" s="8" t="n">
        <v>0.0057</v>
      </c>
      <c r="F308" s="7" t="n">
        <v>14</v>
      </c>
      <c r="G308" s="7" t="n">
        <v>15</v>
      </c>
    </row>
    <row r="309" customFormat="false" ht="15" hidden="false" customHeight="false" outlineLevel="0" collapsed="false">
      <c r="A309" s="9" t="n">
        <v>307</v>
      </c>
      <c r="B309" s="6" t="s">
        <v>116</v>
      </c>
      <c r="C309" s="6" t="s">
        <v>35</v>
      </c>
      <c r="D309" s="8" t="n">
        <v>0.0988</v>
      </c>
      <c r="E309" s="8" t="n">
        <v>0.0037</v>
      </c>
      <c r="F309" s="7" t="n">
        <v>10</v>
      </c>
      <c r="G309" s="7" t="n">
        <v>17</v>
      </c>
    </row>
    <row r="310" customFormat="false" ht="15" hidden="false" customHeight="false" outlineLevel="0" collapsed="false">
      <c r="A310" s="9" t="n">
        <v>308</v>
      </c>
      <c r="B310" s="6" t="s">
        <v>57</v>
      </c>
      <c r="C310" s="6" t="s">
        <v>67</v>
      </c>
      <c r="D310" s="8" t="n">
        <v>0.0981</v>
      </c>
      <c r="E310" s="8" t="n">
        <v>0.0033</v>
      </c>
      <c r="F310" s="7" t="n">
        <v>5</v>
      </c>
      <c r="G310" s="7" t="n">
        <v>9</v>
      </c>
    </row>
    <row r="311" customFormat="false" ht="15" hidden="false" customHeight="false" outlineLevel="0" collapsed="false">
      <c r="A311" s="9" t="n">
        <v>309</v>
      </c>
      <c r="B311" s="6" t="s">
        <v>57</v>
      </c>
      <c r="C311" s="6" t="s">
        <v>89</v>
      </c>
      <c r="D311" s="8" t="n">
        <v>0.098</v>
      </c>
      <c r="E311" s="8" t="n">
        <v>0.0042</v>
      </c>
      <c r="F311" s="7" t="n">
        <v>5</v>
      </c>
      <c r="G311" s="7" t="n">
        <v>6</v>
      </c>
    </row>
    <row r="312" customFormat="false" ht="15" hidden="false" customHeight="false" outlineLevel="0" collapsed="false">
      <c r="A312" s="9" t="n">
        <v>310</v>
      </c>
      <c r="B312" s="6" t="s">
        <v>92</v>
      </c>
      <c r="C312" s="6" t="s">
        <v>116</v>
      </c>
      <c r="D312" s="8" t="n">
        <v>0.0973</v>
      </c>
      <c r="E312" s="8" t="n">
        <v>0.001</v>
      </c>
      <c r="F312" s="7" t="n">
        <v>6</v>
      </c>
      <c r="G312" s="7" t="n">
        <v>9</v>
      </c>
    </row>
    <row r="313" customFormat="false" ht="15" hidden="false" customHeight="false" outlineLevel="0" collapsed="false">
      <c r="A313" s="9" t="n">
        <v>311</v>
      </c>
      <c r="B313" s="6" t="s">
        <v>101</v>
      </c>
      <c r="C313" s="6" t="s">
        <v>134</v>
      </c>
      <c r="D313" s="8" t="n">
        <v>0.0973</v>
      </c>
      <c r="E313" s="8" t="n">
        <v>0.007</v>
      </c>
      <c r="F313" s="7" t="n">
        <v>10</v>
      </c>
      <c r="G313" s="7" t="n">
        <v>6</v>
      </c>
    </row>
    <row r="314" customFormat="false" ht="15" hidden="false" customHeight="false" outlineLevel="0" collapsed="false">
      <c r="A314" s="9" t="n">
        <v>312</v>
      </c>
      <c r="B314" s="6" t="s">
        <v>122</v>
      </c>
      <c r="C314" s="6" t="s">
        <v>138</v>
      </c>
      <c r="D314" s="8" t="n">
        <v>0.096</v>
      </c>
      <c r="E314" s="8" t="n">
        <v>0.0003</v>
      </c>
      <c r="F314" s="7" t="n">
        <v>19</v>
      </c>
      <c r="G314" s="7" t="n">
        <v>13</v>
      </c>
    </row>
    <row r="315" customFormat="false" ht="15" hidden="false" customHeight="false" outlineLevel="0" collapsed="false">
      <c r="A315" s="9" t="n">
        <v>313</v>
      </c>
      <c r="B315" s="6" t="s">
        <v>116</v>
      </c>
      <c r="C315" s="6" t="s">
        <v>94</v>
      </c>
      <c r="D315" s="8" t="n">
        <v>0.0949</v>
      </c>
      <c r="E315" s="8" t="n">
        <v>0.0055</v>
      </c>
      <c r="F315" s="7" t="n">
        <v>8</v>
      </c>
      <c r="G315" s="7" t="n">
        <v>7</v>
      </c>
    </row>
    <row r="316" customFormat="false" ht="15" hidden="false" customHeight="false" outlineLevel="0" collapsed="false">
      <c r="A316" s="9" t="n">
        <v>314</v>
      </c>
      <c r="B316" s="6" t="s">
        <v>113</v>
      </c>
      <c r="C316" s="6" t="s">
        <v>60</v>
      </c>
      <c r="D316" s="8" t="n">
        <v>0.0946</v>
      </c>
      <c r="E316" s="8" t="n">
        <v>0.007</v>
      </c>
      <c r="F316" s="7" t="n">
        <v>15</v>
      </c>
      <c r="G316" s="7" t="n">
        <v>31</v>
      </c>
    </row>
    <row r="317" customFormat="false" ht="15" hidden="false" customHeight="false" outlineLevel="0" collapsed="false">
      <c r="A317" s="9" t="n">
        <v>315</v>
      </c>
      <c r="B317" s="6" t="s">
        <v>123</v>
      </c>
      <c r="C317" s="6" t="s">
        <v>119</v>
      </c>
      <c r="D317" s="8" t="n">
        <v>0.0938</v>
      </c>
      <c r="E317" s="8" t="n">
        <v>0.0017</v>
      </c>
      <c r="F317" s="7" t="n">
        <v>5</v>
      </c>
      <c r="G317" s="7" t="n">
        <v>5</v>
      </c>
    </row>
    <row r="318" customFormat="false" ht="15" hidden="false" customHeight="false" outlineLevel="0" collapsed="false">
      <c r="A318" s="9" t="n">
        <v>316</v>
      </c>
      <c r="B318" s="6" t="s">
        <v>61</v>
      </c>
      <c r="C318" s="6" t="s">
        <v>107</v>
      </c>
      <c r="D318" s="8" t="n">
        <v>0.0937</v>
      </c>
      <c r="E318" s="8" t="n">
        <v>0.0047</v>
      </c>
      <c r="F318" s="7" t="n">
        <v>6</v>
      </c>
      <c r="G318" s="7" t="n">
        <v>16</v>
      </c>
    </row>
    <row r="319" customFormat="false" ht="15" hidden="false" customHeight="false" outlineLevel="0" collapsed="false">
      <c r="A319" s="9" t="n">
        <v>317</v>
      </c>
      <c r="B319" s="6" t="s">
        <v>61</v>
      </c>
      <c r="C319" s="6" t="s">
        <v>92</v>
      </c>
      <c r="D319" s="8" t="n">
        <v>0.0933</v>
      </c>
      <c r="E319" s="8" t="n">
        <v>0.003</v>
      </c>
      <c r="F319" s="7" t="n">
        <v>7</v>
      </c>
      <c r="G319" s="7" t="n">
        <v>13</v>
      </c>
    </row>
    <row r="320" customFormat="false" ht="15" hidden="false" customHeight="false" outlineLevel="0" collapsed="false">
      <c r="A320" s="9" t="n">
        <v>318</v>
      </c>
      <c r="B320" s="6" t="s">
        <v>61</v>
      </c>
      <c r="C320" s="6" t="s">
        <v>125</v>
      </c>
      <c r="D320" s="8" t="n">
        <v>0.0931</v>
      </c>
      <c r="E320" s="8" t="n">
        <v>0.0028</v>
      </c>
      <c r="F320" s="7" t="n">
        <v>7</v>
      </c>
      <c r="G320" s="7" t="n">
        <v>18</v>
      </c>
    </row>
    <row r="321" customFormat="false" ht="15" hidden="false" customHeight="false" outlineLevel="0" collapsed="false">
      <c r="A321" s="9" t="n">
        <v>319</v>
      </c>
      <c r="B321" s="6" t="s">
        <v>92</v>
      </c>
      <c r="C321" s="6" t="s">
        <v>45</v>
      </c>
      <c r="D321" s="8" t="n">
        <v>0.0926</v>
      </c>
      <c r="E321" s="8" t="n">
        <v>0.0016</v>
      </c>
      <c r="F321" s="7" t="n">
        <v>6</v>
      </c>
      <c r="G321" s="7" t="n">
        <v>13</v>
      </c>
    </row>
    <row r="322" customFormat="false" ht="15" hidden="false" customHeight="false" outlineLevel="0" collapsed="false">
      <c r="A322" s="9" t="n">
        <v>320</v>
      </c>
      <c r="B322" s="6" t="s">
        <v>104</v>
      </c>
      <c r="C322" s="6" t="s">
        <v>137</v>
      </c>
      <c r="D322" s="8" t="n">
        <v>0.0923</v>
      </c>
      <c r="E322" s="8" t="n">
        <v>0.0043</v>
      </c>
      <c r="F322" s="7" t="n">
        <v>13</v>
      </c>
      <c r="G322" s="7" t="n">
        <v>24</v>
      </c>
    </row>
    <row r="323" customFormat="false" ht="15" hidden="false" customHeight="false" outlineLevel="0" collapsed="false">
      <c r="A323" s="9" t="n">
        <v>321</v>
      </c>
      <c r="B323" s="6" t="s">
        <v>58</v>
      </c>
      <c r="C323" s="6" t="s">
        <v>104</v>
      </c>
      <c r="D323" s="8" t="n">
        <v>0.0923</v>
      </c>
      <c r="E323" s="8" t="n">
        <v>0.0002</v>
      </c>
      <c r="F323" s="7" t="n">
        <v>5</v>
      </c>
      <c r="G323" s="7" t="n">
        <v>14</v>
      </c>
    </row>
    <row r="324" customFormat="false" ht="15" hidden="false" customHeight="false" outlineLevel="0" collapsed="false">
      <c r="A324" s="9" t="n">
        <v>322</v>
      </c>
      <c r="B324" s="6" t="s">
        <v>104</v>
      </c>
      <c r="C324" s="6" t="s">
        <v>60</v>
      </c>
      <c r="D324" s="8" t="n">
        <v>0.0914</v>
      </c>
      <c r="E324" s="8" t="n">
        <v>0.0043</v>
      </c>
      <c r="F324" s="7" t="n">
        <v>15</v>
      </c>
      <c r="G324" s="7" t="n">
        <v>46</v>
      </c>
    </row>
    <row r="325" customFormat="false" ht="15" hidden="false" customHeight="false" outlineLevel="0" collapsed="false">
      <c r="A325" s="9" t="n">
        <v>323</v>
      </c>
      <c r="B325" s="6" t="s">
        <v>104</v>
      </c>
      <c r="C325" s="6" t="s">
        <v>116</v>
      </c>
      <c r="D325" s="8" t="n">
        <v>0.0914</v>
      </c>
      <c r="E325" s="8" t="n">
        <v>0.005</v>
      </c>
      <c r="F325" s="7" t="n">
        <v>11</v>
      </c>
      <c r="G325" s="7" t="n">
        <v>47</v>
      </c>
    </row>
    <row r="326" customFormat="false" ht="15" hidden="false" customHeight="false" outlineLevel="0" collapsed="false">
      <c r="A326" s="9" t="n">
        <v>324</v>
      </c>
      <c r="B326" s="6" t="s">
        <v>104</v>
      </c>
      <c r="C326" s="6" t="s">
        <v>88</v>
      </c>
      <c r="D326" s="8" t="n">
        <v>0.0911</v>
      </c>
      <c r="E326" s="8" t="n">
        <v>0.0052</v>
      </c>
      <c r="F326" s="7" t="n">
        <v>10</v>
      </c>
      <c r="G326" s="7" t="n">
        <v>30</v>
      </c>
    </row>
    <row r="327" customFormat="false" ht="15" hidden="false" customHeight="false" outlineLevel="0" collapsed="false">
      <c r="A327" s="9" t="n">
        <v>325</v>
      </c>
      <c r="B327" s="6" t="s">
        <v>104</v>
      </c>
      <c r="C327" s="6" t="s">
        <v>107</v>
      </c>
      <c r="D327" s="8" t="n">
        <v>0.0905</v>
      </c>
      <c r="E327" s="8" t="n">
        <v>0.0058</v>
      </c>
      <c r="F327" s="7" t="n">
        <v>10</v>
      </c>
      <c r="G327" s="7" t="n">
        <v>31</v>
      </c>
    </row>
    <row r="328" customFormat="false" ht="15" hidden="false" customHeight="false" outlineLevel="0" collapsed="false">
      <c r="A328" s="9" t="n">
        <v>326</v>
      </c>
      <c r="B328" s="6" t="s">
        <v>28</v>
      </c>
      <c r="C328" s="6" t="s">
        <v>46</v>
      </c>
      <c r="D328" s="8" t="n">
        <v>0.0897</v>
      </c>
      <c r="E328" s="8" t="n">
        <v>0.0006</v>
      </c>
      <c r="F328" s="7" t="n">
        <v>3</v>
      </c>
      <c r="G328" s="7" t="n">
        <v>5</v>
      </c>
    </row>
    <row r="329" customFormat="false" ht="15" hidden="false" customHeight="false" outlineLevel="0" collapsed="false">
      <c r="A329" s="9" t="n">
        <v>327</v>
      </c>
      <c r="B329" s="6" t="s">
        <v>122</v>
      </c>
      <c r="C329" s="6" t="s">
        <v>45</v>
      </c>
      <c r="D329" s="8" t="n">
        <v>0.0892</v>
      </c>
      <c r="E329" s="8" t="n">
        <v>0.0037</v>
      </c>
      <c r="F329" s="7" t="n">
        <v>21</v>
      </c>
      <c r="G329" s="7" t="n">
        <v>47</v>
      </c>
    </row>
    <row r="330" customFormat="false" ht="15" hidden="false" customHeight="false" outlineLevel="0" collapsed="false">
      <c r="A330" s="9" t="n">
        <v>328</v>
      </c>
      <c r="B330" s="6" t="s">
        <v>57</v>
      </c>
      <c r="C330" s="6" t="s">
        <v>22</v>
      </c>
      <c r="D330" s="8" t="n">
        <v>0.0886</v>
      </c>
      <c r="E330" s="8" t="n">
        <v>0.0018</v>
      </c>
      <c r="F330" s="7" t="n">
        <v>7</v>
      </c>
      <c r="G330" s="7" t="n">
        <v>17</v>
      </c>
    </row>
    <row r="331" customFormat="false" ht="15" hidden="false" customHeight="false" outlineLevel="0" collapsed="false">
      <c r="A331" s="9" t="n">
        <v>329</v>
      </c>
      <c r="B331" s="6" t="s">
        <v>123</v>
      </c>
      <c r="C331" s="6" t="s">
        <v>107</v>
      </c>
      <c r="D331" s="8" t="n">
        <v>0.0882</v>
      </c>
      <c r="E331" s="8" t="n">
        <v>0.0041</v>
      </c>
      <c r="F331" s="7" t="n">
        <v>6</v>
      </c>
      <c r="G331" s="7" t="n">
        <v>14</v>
      </c>
    </row>
    <row r="332" customFormat="false" ht="15" hidden="false" customHeight="false" outlineLevel="0" collapsed="false">
      <c r="A332" s="9" t="n">
        <v>330</v>
      </c>
      <c r="B332" s="6" t="s">
        <v>61</v>
      </c>
      <c r="C332" s="6" t="s">
        <v>116</v>
      </c>
      <c r="D332" s="8" t="n">
        <v>0.0873</v>
      </c>
      <c r="E332" s="8" t="n">
        <v>0.0026</v>
      </c>
      <c r="F332" s="7" t="n">
        <v>6</v>
      </c>
      <c r="G332" s="7" t="n">
        <v>5</v>
      </c>
    </row>
    <row r="333" customFormat="false" ht="15" hidden="false" customHeight="false" outlineLevel="0" collapsed="false">
      <c r="A333" s="9" t="n">
        <v>331</v>
      </c>
      <c r="B333" s="6" t="s">
        <v>57</v>
      </c>
      <c r="C333" s="6" t="s">
        <v>116</v>
      </c>
      <c r="D333" s="8" t="n">
        <v>0.0869</v>
      </c>
      <c r="E333" s="8" t="n">
        <v>0.0041</v>
      </c>
      <c r="F333" s="7" t="n">
        <v>6</v>
      </c>
      <c r="G333" s="7" t="n">
        <v>12</v>
      </c>
    </row>
    <row r="334" customFormat="false" ht="15" hidden="false" customHeight="false" outlineLevel="0" collapsed="false">
      <c r="A334" s="9" t="n">
        <v>332</v>
      </c>
      <c r="B334" s="6" t="s">
        <v>73</v>
      </c>
      <c r="C334" s="6" t="s">
        <v>104</v>
      </c>
      <c r="D334" s="8" t="n">
        <v>0.0864</v>
      </c>
      <c r="E334" s="8" t="n">
        <v>0.0003</v>
      </c>
      <c r="F334" s="7" t="n">
        <v>4</v>
      </c>
      <c r="G334" s="7" t="n">
        <v>12</v>
      </c>
    </row>
    <row r="335" customFormat="false" ht="15" hidden="false" customHeight="false" outlineLevel="0" collapsed="false">
      <c r="A335" s="9" t="n">
        <v>333</v>
      </c>
      <c r="B335" s="6" t="s">
        <v>92</v>
      </c>
      <c r="C335" s="6" t="s">
        <v>35</v>
      </c>
      <c r="D335" s="8" t="n">
        <v>0.0861</v>
      </c>
      <c r="E335" s="8" t="n">
        <v>0.0032</v>
      </c>
      <c r="F335" s="7" t="n">
        <v>6</v>
      </c>
      <c r="G335" s="7" t="n">
        <v>9</v>
      </c>
    </row>
    <row r="336" customFormat="false" ht="15" hidden="false" customHeight="false" outlineLevel="0" collapsed="false">
      <c r="A336" s="9" t="n">
        <v>334</v>
      </c>
      <c r="B336" s="6" t="s">
        <v>116</v>
      </c>
      <c r="C336" s="6" t="s">
        <v>122</v>
      </c>
      <c r="D336" s="8" t="n">
        <v>0.084</v>
      </c>
      <c r="E336" s="8" t="n">
        <v>0.0059</v>
      </c>
      <c r="F336" s="7" t="n">
        <v>6</v>
      </c>
      <c r="G336" s="7" t="n">
        <v>46</v>
      </c>
    </row>
    <row r="337" customFormat="false" ht="15" hidden="false" customHeight="false" outlineLevel="0" collapsed="false">
      <c r="A337" s="9" t="n">
        <v>335</v>
      </c>
      <c r="B337" s="6" t="s">
        <v>57</v>
      </c>
      <c r="C337" s="6" t="s">
        <v>125</v>
      </c>
      <c r="D337" s="8" t="n">
        <v>0.0835</v>
      </c>
      <c r="E337" s="8" t="n">
        <v>0.0072</v>
      </c>
      <c r="F337" s="7" t="n">
        <v>5</v>
      </c>
      <c r="G337" s="7" t="n">
        <v>14</v>
      </c>
    </row>
    <row r="338" customFormat="false" ht="15" hidden="false" customHeight="false" outlineLevel="0" collapsed="false">
      <c r="A338" s="9" t="n">
        <v>336</v>
      </c>
      <c r="B338" s="6" t="s">
        <v>92</v>
      </c>
      <c r="C338" s="6" t="s">
        <v>125</v>
      </c>
      <c r="D338" s="8" t="n">
        <v>0.0825</v>
      </c>
      <c r="E338" s="8" t="n">
        <v>0.006</v>
      </c>
      <c r="F338" s="7" t="n">
        <v>6</v>
      </c>
      <c r="G338" s="7" t="n">
        <v>18</v>
      </c>
    </row>
    <row r="339" customFormat="false" ht="15" hidden="false" customHeight="false" outlineLevel="0" collapsed="false">
      <c r="A339" s="9" t="n">
        <v>337</v>
      </c>
      <c r="B339" s="6" t="s">
        <v>83</v>
      </c>
      <c r="C339" s="6" t="s">
        <v>104</v>
      </c>
      <c r="D339" s="8" t="n">
        <v>0.0781</v>
      </c>
      <c r="E339" s="8" t="n">
        <v>0.0072</v>
      </c>
      <c r="F339" s="7" t="n">
        <v>5</v>
      </c>
      <c r="G339" s="7" t="n">
        <v>19</v>
      </c>
    </row>
    <row r="340" customFormat="false" ht="15" hidden="false" customHeight="false" outlineLevel="0" collapsed="false">
      <c r="A340" s="9" t="n">
        <v>338</v>
      </c>
      <c r="B340" s="6" t="s">
        <v>123</v>
      </c>
      <c r="C340" s="6" t="s">
        <v>116</v>
      </c>
      <c r="D340" s="8" t="n">
        <v>0.0775</v>
      </c>
      <c r="E340" s="8" t="n">
        <v>0.0044</v>
      </c>
      <c r="F340" s="7" t="n">
        <v>5</v>
      </c>
      <c r="G340" s="7" t="n">
        <v>8</v>
      </c>
    </row>
    <row r="341" customFormat="false" ht="15" hidden="false" customHeight="false" outlineLevel="0" collapsed="false">
      <c r="A341" s="9" t="n">
        <v>339</v>
      </c>
      <c r="B341" s="6" t="s">
        <v>92</v>
      </c>
      <c r="C341" s="6" t="s">
        <v>113</v>
      </c>
      <c r="D341" s="8" t="n">
        <v>0.0773</v>
      </c>
      <c r="E341" s="8" t="n">
        <v>0.0046</v>
      </c>
      <c r="F341" s="7" t="n">
        <v>5</v>
      </c>
      <c r="G341" s="7" t="n">
        <v>19</v>
      </c>
    </row>
    <row r="342" customFormat="false" ht="15" hidden="false" customHeight="false" outlineLevel="0" collapsed="false">
      <c r="A342" s="9" t="n">
        <v>340</v>
      </c>
      <c r="B342" s="6" t="s">
        <v>58</v>
      </c>
      <c r="C342" s="6" t="s">
        <v>45</v>
      </c>
      <c r="D342" s="8" t="n">
        <v>0.0698</v>
      </c>
      <c r="E342" s="8" t="n">
        <v>0.0073</v>
      </c>
      <c r="F342" s="7" t="n">
        <v>3</v>
      </c>
      <c r="G342" s="7" t="n">
        <v>7</v>
      </c>
    </row>
    <row r="344" customFormat="false" ht="15" hidden="false" customHeight="false" outlineLevel="0" collapsed="false">
      <c r="A344" s="14" t="s">
        <v>6</v>
      </c>
      <c r="B344" s="14"/>
      <c r="C344" s="14"/>
      <c r="D344" s="14"/>
      <c r="E344" s="14"/>
      <c r="F344" s="14"/>
      <c r="G344" s="14"/>
    </row>
  </sheetData>
  <autoFilter ref="A2:G342"/>
  <mergeCells count="2">
    <mergeCell ref="A1:G1"/>
    <mergeCell ref="A344:G3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46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1"/>
  </cols>
  <sheetData>
    <row r="1" customFormat="false" ht="21.75" hidden="false" customHeight="true" outlineLevel="0" collapsed="false">
      <c r="A1" s="4" t="s">
        <v>162</v>
      </c>
      <c r="B1" s="4"/>
      <c r="C1" s="4"/>
      <c r="D1" s="4"/>
      <c r="E1" s="4"/>
      <c r="F1" s="4"/>
      <c r="G1" s="4"/>
    </row>
    <row r="2" customFormat="false" ht="30" hidden="false" customHeight="true" outlineLevel="0" collapsed="false">
      <c r="A2" s="5" t="s">
        <v>142</v>
      </c>
      <c r="B2" s="5" t="s">
        <v>143</v>
      </c>
      <c r="C2" s="5" t="s">
        <v>144</v>
      </c>
      <c r="D2" s="5" t="s">
        <v>145</v>
      </c>
      <c r="E2" s="5" t="s">
        <v>146</v>
      </c>
      <c r="F2" s="5" t="s">
        <v>14</v>
      </c>
      <c r="G2" s="5" t="s">
        <v>147</v>
      </c>
    </row>
    <row r="3" customFormat="false" ht="15" hidden="false" customHeight="false" outlineLevel="0" collapsed="false">
      <c r="A3" s="9" t="n">
        <v>1</v>
      </c>
      <c r="B3" s="6" t="s">
        <v>105</v>
      </c>
      <c r="C3" s="6" t="s">
        <v>149</v>
      </c>
      <c r="D3" s="8" t="n">
        <v>0.2567</v>
      </c>
      <c r="E3" s="8" t="n">
        <v>0.0024</v>
      </c>
      <c r="F3" s="7" t="n">
        <v>3</v>
      </c>
      <c r="G3" s="7" t="n">
        <v>6</v>
      </c>
    </row>
    <row r="4" customFormat="false" ht="15" hidden="false" customHeight="false" outlineLevel="0" collapsed="false">
      <c r="A4" s="9" t="n">
        <v>2</v>
      </c>
      <c r="B4" s="6" t="s">
        <v>127</v>
      </c>
      <c r="C4" s="6" t="s">
        <v>103</v>
      </c>
      <c r="D4" s="8" t="n">
        <v>0.2306</v>
      </c>
      <c r="E4" s="8" t="n">
        <v>0.0002</v>
      </c>
      <c r="F4" s="7" t="n">
        <v>3</v>
      </c>
      <c r="G4" s="7" t="n">
        <v>5</v>
      </c>
    </row>
    <row r="5" customFormat="false" ht="15" hidden="false" customHeight="false" outlineLevel="0" collapsed="false">
      <c r="A5" s="9" t="n">
        <v>3</v>
      </c>
      <c r="B5" s="6" t="s">
        <v>88</v>
      </c>
      <c r="C5" s="6" t="s">
        <v>148</v>
      </c>
      <c r="D5" s="8" t="n">
        <v>0.2242</v>
      </c>
      <c r="E5" s="8" t="n">
        <v>0.0001</v>
      </c>
      <c r="F5" s="7" t="n">
        <v>6</v>
      </c>
      <c r="G5" s="7" t="n">
        <v>6</v>
      </c>
    </row>
    <row r="6" customFormat="false" ht="15" hidden="false" customHeight="false" outlineLevel="0" collapsed="false">
      <c r="A6" s="9" t="n">
        <v>4</v>
      </c>
      <c r="B6" s="6" t="s">
        <v>90</v>
      </c>
      <c r="C6" s="6" t="s">
        <v>88</v>
      </c>
      <c r="D6" s="8" t="n">
        <v>0.2004</v>
      </c>
      <c r="E6" s="8" t="n">
        <v>0.0006</v>
      </c>
      <c r="F6" s="7" t="n">
        <v>6</v>
      </c>
      <c r="G6" s="7" t="n">
        <v>7</v>
      </c>
    </row>
    <row r="7" customFormat="false" ht="15" hidden="false" customHeight="false" outlineLevel="0" collapsed="false">
      <c r="A7" s="9" t="n">
        <v>5</v>
      </c>
      <c r="B7" s="6" t="s">
        <v>88</v>
      </c>
      <c r="C7" s="6" t="s">
        <v>90</v>
      </c>
      <c r="D7" s="8" t="n">
        <v>0.1955</v>
      </c>
      <c r="E7" s="8" t="n">
        <v>0.0003</v>
      </c>
      <c r="F7" s="7" t="n">
        <v>6</v>
      </c>
      <c r="G7" s="7" t="n">
        <v>7</v>
      </c>
    </row>
    <row r="8" customFormat="false" ht="15" hidden="false" customHeight="false" outlineLevel="0" collapsed="false">
      <c r="A8" s="9" t="n">
        <v>6</v>
      </c>
      <c r="B8" s="6" t="s">
        <v>127</v>
      </c>
      <c r="C8" s="6" t="s">
        <v>57</v>
      </c>
      <c r="D8" s="8" t="n">
        <v>0.1874</v>
      </c>
      <c r="E8" s="8" t="n">
        <v>0.0007</v>
      </c>
      <c r="F8" s="7" t="n">
        <v>5</v>
      </c>
      <c r="G8" s="7" t="n">
        <v>6</v>
      </c>
    </row>
    <row r="9" customFormat="false" ht="15" hidden="false" customHeight="false" outlineLevel="0" collapsed="false">
      <c r="A9" s="9" t="n">
        <v>7</v>
      </c>
      <c r="B9" s="6" t="s">
        <v>88</v>
      </c>
      <c r="C9" s="6" t="s">
        <v>91</v>
      </c>
      <c r="D9" s="8" t="n">
        <v>0.179</v>
      </c>
      <c r="E9" s="8" t="n">
        <v>0.0004</v>
      </c>
      <c r="F9" s="7" t="n">
        <v>8</v>
      </c>
      <c r="G9" s="7" t="n">
        <v>5</v>
      </c>
    </row>
    <row r="10" customFormat="false" ht="15" hidden="false" customHeight="false" outlineLevel="0" collapsed="false">
      <c r="A10" s="9" t="n">
        <v>8</v>
      </c>
      <c r="B10" s="6" t="s">
        <v>127</v>
      </c>
      <c r="C10" s="6" t="s">
        <v>105</v>
      </c>
      <c r="D10" s="8" t="n">
        <v>0.1768</v>
      </c>
      <c r="E10" s="8" t="n">
        <v>0.0009</v>
      </c>
      <c r="F10" s="7" t="n">
        <v>2</v>
      </c>
      <c r="G10" s="7" t="n">
        <v>10</v>
      </c>
    </row>
    <row r="11" customFormat="false" ht="15" hidden="false" customHeight="false" outlineLevel="0" collapsed="false">
      <c r="A11" s="9" t="n">
        <v>9</v>
      </c>
      <c r="B11" s="6" t="s">
        <v>125</v>
      </c>
      <c r="C11" s="6" t="s">
        <v>57</v>
      </c>
      <c r="D11" s="8" t="n">
        <v>0.1761</v>
      </c>
      <c r="E11" s="8" t="n">
        <v>0.0006</v>
      </c>
      <c r="F11" s="7" t="n">
        <v>7</v>
      </c>
      <c r="G11" s="7" t="n">
        <v>14</v>
      </c>
    </row>
    <row r="12" customFormat="false" ht="15" hidden="false" customHeight="false" outlineLevel="0" collapsed="false">
      <c r="A12" s="9" t="n">
        <v>10</v>
      </c>
      <c r="B12" s="6" t="s">
        <v>91</v>
      </c>
      <c r="C12" s="6" t="s">
        <v>88</v>
      </c>
      <c r="D12" s="8" t="n">
        <v>0.1753</v>
      </c>
      <c r="E12" s="8" t="n">
        <v>0.0007</v>
      </c>
      <c r="F12" s="7" t="n">
        <v>5</v>
      </c>
      <c r="G12" s="7" t="n">
        <v>5</v>
      </c>
    </row>
    <row r="13" customFormat="false" ht="15" hidden="false" customHeight="false" outlineLevel="0" collapsed="false">
      <c r="A13" s="9" t="n">
        <v>11</v>
      </c>
      <c r="B13" s="6" t="s">
        <v>88</v>
      </c>
      <c r="C13" s="6" t="s">
        <v>85</v>
      </c>
      <c r="D13" s="8" t="n">
        <v>0.1739</v>
      </c>
      <c r="E13" s="8" t="n">
        <v>0.0002</v>
      </c>
      <c r="F13" s="7" t="n">
        <v>6</v>
      </c>
      <c r="G13" s="7" t="n">
        <v>7</v>
      </c>
    </row>
    <row r="14" customFormat="false" ht="15" hidden="false" customHeight="false" outlineLevel="0" collapsed="false">
      <c r="A14" s="9" t="n">
        <v>12</v>
      </c>
      <c r="B14" s="6" t="s">
        <v>118</v>
      </c>
      <c r="C14" s="6" t="s">
        <v>57</v>
      </c>
      <c r="D14" s="8" t="n">
        <v>0.1687</v>
      </c>
      <c r="E14" s="8" t="n">
        <v>0.0005</v>
      </c>
      <c r="F14" s="7" t="n">
        <v>5</v>
      </c>
      <c r="G14" s="7" t="n">
        <v>6</v>
      </c>
    </row>
    <row r="15" customFormat="false" ht="15" hidden="false" customHeight="false" outlineLevel="0" collapsed="false">
      <c r="A15" s="9" t="n">
        <v>13</v>
      </c>
      <c r="B15" s="6" t="s">
        <v>127</v>
      </c>
      <c r="C15" s="6" t="s">
        <v>60</v>
      </c>
      <c r="D15" s="8" t="n">
        <v>0.1644</v>
      </c>
      <c r="E15" s="8" t="n">
        <v>0.0003</v>
      </c>
      <c r="F15" s="7" t="n">
        <v>4</v>
      </c>
      <c r="G15" s="7" t="n">
        <v>6</v>
      </c>
    </row>
    <row r="16" customFormat="false" ht="15" hidden="false" customHeight="false" outlineLevel="0" collapsed="false">
      <c r="A16" s="9" t="n">
        <v>14</v>
      </c>
      <c r="B16" s="6" t="s">
        <v>127</v>
      </c>
      <c r="C16" s="6" t="s">
        <v>125</v>
      </c>
      <c r="D16" s="8" t="n">
        <v>0.1593</v>
      </c>
      <c r="E16" s="8" t="n">
        <v>0.0006</v>
      </c>
      <c r="F16" s="7" t="n">
        <v>4</v>
      </c>
      <c r="G16" s="7" t="n">
        <v>10</v>
      </c>
    </row>
    <row r="17" customFormat="false" ht="15" hidden="false" customHeight="false" outlineLevel="0" collapsed="false">
      <c r="A17" s="9" t="n">
        <v>15</v>
      </c>
      <c r="B17" s="6" t="s">
        <v>60</v>
      </c>
      <c r="C17" s="6" t="s">
        <v>87</v>
      </c>
      <c r="D17" s="8" t="n">
        <v>0.1591</v>
      </c>
      <c r="E17" s="8" t="n">
        <v>0.0003</v>
      </c>
      <c r="F17" s="7" t="n">
        <v>8</v>
      </c>
      <c r="G17" s="7" t="n">
        <v>8</v>
      </c>
    </row>
    <row r="18" customFormat="false" ht="15" hidden="false" customHeight="false" outlineLevel="0" collapsed="false">
      <c r="A18" s="9" t="n">
        <v>16</v>
      </c>
      <c r="B18" s="6" t="s">
        <v>88</v>
      </c>
      <c r="C18" s="6" t="s">
        <v>137</v>
      </c>
      <c r="D18" s="8" t="n">
        <v>0.1589</v>
      </c>
      <c r="E18" s="8" t="n">
        <v>0.0003</v>
      </c>
      <c r="F18" s="7" t="n">
        <v>6</v>
      </c>
      <c r="G18" s="7" t="n">
        <v>9</v>
      </c>
    </row>
    <row r="19" customFormat="false" ht="15" hidden="false" customHeight="false" outlineLevel="0" collapsed="false">
      <c r="A19" s="9" t="n">
        <v>17</v>
      </c>
      <c r="B19" s="6" t="s">
        <v>89</v>
      </c>
      <c r="C19" s="6" t="s">
        <v>57</v>
      </c>
      <c r="D19" s="8" t="n">
        <v>0.1549</v>
      </c>
      <c r="E19" s="8" t="n">
        <v>0.0002</v>
      </c>
      <c r="F19" s="7" t="n">
        <v>4</v>
      </c>
      <c r="G19" s="7" t="n">
        <v>6</v>
      </c>
    </row>
    <row r="20" customFormat="false" ht="15" hidden="false" customHeight="false" outlineLevel="0" collapsed="false">
      <c r="A20" s="9" t="n">
        <v>18</v>
      </c>
      <c r="B20" s="6" t="s">
        <v>61</v>
      </c>
      <c r="C20" s="6" t="s">
        <v>153</v>
      </c>
      <c r="D20" s="8" t="n">
        <v>0.1445</v>
      </c>
      <c r="E20" s="8" t="n">
        <v>0.0001</v>
      </c>
      <c r="F20" s="7" t="n">
        <v>6</v>
      </c>
      <c r="G20" s="7" t="n">
        <v>6</v>
      </c>
    </row>
    <row r="21" customFormat="false" ht="15" hidden="false" customHeight="false" outlineLevel="0" collapsed="false">
      <c r="A21" s="9" t="n">
        <v>19</v>
      </c>
      <c r="B21" s="6" t="s">
        <v>57</v>
      </c>
      <c r="C21" s="6" t="s">
        <v>153</v>
      </c>
      <c r="D21" s="8" t="n">
        <v>0.1426</v>
      </c>
      <c r="E21" s="8" t="n">
        <v>0.0004</v>
      </c>
      <c r="F21" s="7" t="n">
        <v>5</v>
      </c>
      <c r="G21" s="7" t="n">
        <v>5</v>
      </c>
    </row>
    <row r="22" customFormat="false" ht="15" hidden="false" customHeight="false" outlineLevel="0" collapsed="false">
      <c r="A22" s="9" t="n">
        <v>20</v>
      </c>
      <c r="B22" s="6" t="s">
        <v>118</v>
      </c>
      <c r="C22" s="6" t="s">
        <v>73</v>
      </c>
      <c r="D22" s="8" t="n">
        <v>0.1411</v>
      </c>
      <c r="E22" s="8" t="n">
        <v>0.0017</v>
      </c>
      <c r="F22" s="7" t="n">
        <v>5</v>
      </c>
      <c r="G22" s="7" t="n">
        <v>6</v>
      </c>
    </row>
    <row r="23" customFormat="false" ht="15" hidden="false" customHeight="false" outlineLevel="0" collapsed="false">
      <c r="A23" s="9" t="n">
        <v>21</v>
      </c>
      <c r="B23" s="6" t="s">
        <v>118</v>
      </c>
      <c r="C23" s="6" t="s">
        <v>123</v>
      </c>
      <c r="D23" s="8" t="n">
        <v>0.1395</v>
      </c>
      <c r="E23" s="8" t="n">
        <v>0.0007</v>
      </c>
      <c r="F23" s="7" t="n">
        <v>5</v>
      </c>
      <c r="G23" s="7" t="n">
        <v>6</v>
      </c>
    </row>
    <row r="24" customFormat="false" ht="15" hidden="false" customHeight="false" outlineLevel="0" collapsed="false">
      <c r="A24" s="9" t="n">
        <v>22</v>
      </c>
      <c r="B24" s="6" t="s">
        <v>58</v>
      </c>
      <c r="C24" s="6" t="s">
        <v>57</v>
      </c>
      <c r="D24" s="8" t="n">
        <v>0.1354</v>
      </c>
      <c r="E24" s="8" t="n">
        <v>0.0001</v>
      </c>
      <c r="F24" s="7" t="n">
        <v>4</v>
      </c>
      <c r="G24" s="7" t="n">
        <v>9</v>
      </c>
    </row>
    <row r="25" customFormat="false" ht="15" hidden="false" customHeight="false" outlineLevel="0" collapsed="false">
      <c r="A25" s="9" t="n">
        <v>23</v>
      </c>
      <c r="B25" s="6" t="s">
        <v>118</v>
      </c>
      <c r="C25" s="6" t="s">
        <v>58</v>
      </c>
      <c r="D25" s="8" t="n">
        <v>0.1341</v>
      </c>
      <c r="E25" s="8" t="n">
        <v>0.0018</v>
      </c>
      <c r="F25" s="7" t="n">
        <v>5</v>
      </c>
      <c r="G25" s="7" t="n">
        <v>6</v>
      </c>
    </row>
    <row r="26" customFormat="false" ht="15" hidden="false" customHeight="false" outlineLevel="0" collapsed="false">
      <c r="A26" s="9" t="n">
        <v>24</v>
      </c>
      <c r="B26" s="6" t="s">
        <v>127</v>
      </c>
      <c r="C26" s="6" t="s">
        <v>92</v>
      </c>
      <c r="D26" s="8" t="n">
        <v>0.1337</v>
      </c>
      <c r="E26" s="8" t="n">
        <v>0.0038</v>
      </c>
      <c r="F26" s="7" t="n">
        <v>3</v>
      </c>
      <c r="G26" s="7" t="n">
        <v>7</v>
      </c>
    </row>
    <row r="27" customFormat="false" ht="15" hidden="false" customHeight="false" outlineLevel="0" collapsed="false">
      <c r="A27" s="9" t="n">
        <v>25</v>
      </c>
      <c r="B27" s="6" t="s">
        <v>58</v>
      </c>
      <c r="C27" s="6" t="s">
        <v>153</v>
      </c>
      <c r="D27" s="8" t="n">
        <v>0.1288</v>
      </c>
      <c r="E27" s="8" t="n">
        <v>0.0003</v>
      </c>
      <c r="F27" s="7" t="n">
        <v>5</v>
      </c>
      <c r="G27" s="7" t="n">
        <v>5</v>
      </c>
    </row>
    <row r="28" customFormat="false" ht="15" hidden="false" customHeight="false" outlineLevel="0" collapsed="false">
      <c r="A28" s="9" t="n">
        <v>26</v>
      </c>
      <c r="B28" s="6" t="s">
        <v>118</v>
      </c>
      <c r="C28" s="6" t="s">
        <v>61</v>
      </c>
      <c r="D28" s="8" t="n">
        <v>0.1251</v>
      </c>
      <c r="E28" s="8" t="n">
        <v>0.0012</v>
      </c>
      <c r="F28" s="7" t="n">
        <v>5</v>
      </c>
      <c r="G28" s="7" t="n">
        <v>7</v>
      </c>
    </row>
    <row r="29" customFormat="false" ht="15" hidden="false" customHeight="false" outlineLevel="0" collapsed="false">
      <c r="A29" s="9" t="n">
        <v>27</v>
      </c>
      <c r="B29" s="6" t="s">
        <v>61</v>
      </c>
      <c r="C29" s="6" t="s">
        <v>57</v>
      </c>
      <c r="D29" s="8" t="n">
        <v>0.1244</v>
      </c>
      <c r="E29" s="8" t="n">
        <v>0.0004</v>
      </c>
      <c r="F29" s="7" t="n">
        <v>7</v>
      </c>
      <c r="G29" s="7" t="n">
        <v>11</v>
      </c>
    </row>
    <row r="30" customFormat="false" ht="15" hidden="false" customHeight="false" outlineLevel="0" collapsed="false">
      <c r="A30" s="9" t="n">
        <v>28</v>
      </c>
      <c r="B30" s="6" t="s">
        <v>67</v>
      </c>
      <c r="C30" s="6" t="s">
        <v>57</v>
      </c>
      <c r="D30" s="8" t="n">
        <v>0.1225</v>
      </c>
      <c r="E30" s="8" t="n">
        <v>0.0005</v>
      </c>
      <c r="F30" s="7" t="n">
        <v>7</v>
      </c>
      <c r="G30" s="7" t="n">
        <v>9</v>
      </c>
    </row>
    <row r="31" customFormat="false" ht="15" hidden="false" customHeight="false" outlineLevel="0" collapsed="false">
      <c r="A31" s="9" t="n">
        <v>29</v>
      </c>
      <c r="B31" s="6" t="s">
        <v>123</v>
      </c>
      <c r="C31" s="6" t="s">
        <v>129</v>
      </c>
      <c r="D31" s="8" t="n">
        <v>0.1224</v>
      </c>
      <c r="E31" s="8" t="n">
        <v>0.0011</v>
      </c>
      <c r="F31" s="7" t="n">
        <v>4</v>
      </c>
      <c r="G31" s="7" t="n">
        <v>8</v>
      </c>
    </row>
    <row r="32" customFormat="false" ht="15" hidden="false" customHeight="false" outlineLevel="0" collapsed="false">
      <c r="A32" s="9" t="n">
        <v>30</v>
      </c>
      <c r="B32" s="6" t="s">
        <v>118</v>
      </c>
      <c r="C32" s="6" t="s">
        <v>92</v>
      </c>
      <c r="D32" s="8" t="n">
        <v>0.121</v>
      </c>
      <c r="E32" s="8" t="n">
        <v>0.0018</v>
      </c>
      <c r="F32" s="7" t="n">
        <v>4</v>
      </c>
      <c r="G32" s="7" t="n">
        <v>9</v>
      </c>
    </row>
    <row r="33" customFormat="false" ht="15" hidden="false" customHeight="false" outlineLevel="0" collapsed="false">
      <c r="A33" s="9" t="n">
        <v>31</v>
      </c>
      <c r="B33" s="6" t="s">
        <v>58</v>
      </c>
      <c r="C33" s="6" t="s">
        <v>159</v>
      </c>
      <c r="D33" s="8" t="n">
        <v>0.1199</v>
      </c>
      <c r="E33" s="8" t="n">
        <v>0.0037</v>
      </c>
      <c r="F33" s="7" t="n">
        <v>3</v>
      </c>
      <c r="G33" s="7" t="n">
        <v>5</v>
      </c>
    </row>
    <row r="34" customFormat="false" ht="15" hidden="false" customHeight="false" outlineLevel="0" collapsed="false">
      <c r="A34" s="9" t="n">
        <v>32</v>
      </c>
      <c r="B34" s="6" t="s">
        <v>92</v>
      </c>
      <c r="C34" s="6" t="s">
        <v>57</v>
      </c>
      <c r="D34" s="8" t="n">
        <v>0.1187</v>
      </c>
      <c r="E34" s="8" t="n">
        <v>0.0003</v>
      </c>
      <c r="F34" s="7" t="n">
        <v>6</v>
      </c>
      <c r="G34" s="7" t="n">
        <v>14</v>
      </c>
    </row>
    <row r="35" customFormat="false" ht="15" hidden="false" customHeight="false" outlineLevel="0" collapsed="false">
      <c r="A35" s="9" t="n">
        <v>33</v>
      </c>
      <c r="B35" s="6" t="s">
        <v>92</v>
      </c>
      <c r="C35" s="6" t="s">
        <v>153</v>
      </c>
      <c r="D35" s="8" t="n">
        <v>0.1183</v>
      </c>
      <c r="E35" s="8" t="n">
        <v>0.0006</v>
      </c>
      <c r="F35" s="7" t="n">
        <v>6</v>
      </c>
      <c r="G35" s="7" t="n">
        <v>5</v>
      </c>
    </row>
    <row r="36" customFormat="false" ht="15" hidden="false" customHeight="false" outlineLevel="0" collapsed="false">
      <c r="A36" s="9" t="n">
        <v>34</v>
      </c>
      <c r="B36" s="6" t="s">
        <v>57</v>
      </c>
      <c r="C36" s="6" t="s">
        <v>58</v>
      </c>
      <c r="D36" s="8" t="n">
        <v>0.1162</v>
      </c>
      <c r="E36" s="8" t="n">
        <v>0.001</v>
      </c>
      <c r="F36" s="7" t="n">
        <v>4</v>
      </c>
      <c r="G36" s="7" t="n">
        <v>9</v>
      </c>
    </row>
    <row r="37" customFormat="false" ht="15" hidden="false" customHeight="false" outlineLevel="0" collapsed="false">
      <c r="A37" s="9" t="n">
        <v>35</v>
      </c>
      <c r="B37" s="6" t="s">
        <v>123</v>
      </c>
      <c r="C37" s="6" t="s">
        <v>57</v>
      </c>
      <c r="D37" s="8" t="n">
        <v>0.1156</v>
      </c>
      <c r="E37" s="8" t="n">
        <v>0.0006</v>
      </c>
      <c r="F37" s="7" t="n">
        <v>5</v>
      </c>
      <c r="G37" s="7" t="n">
        <v>10</v>
      </c>
    </row>
    <row r="38" customFormat="false" ht="15" hidden="false" customHeight="false" outlineLevel="0" collapsed="false">
      <c r="A38" s="9" t="n">
        <v>36</v>
      </c>
      <c r="B38" s="6" t="s">
        <v>57</v>
      </c>
      <c r="C38" s="6" t="s">
        <v>76</v>
      </c>
      <c r="D38" s="8" t="n">
        <v>0.1151</v>
      </c>
      <c r="E38" s="8" t="n">
        <v>0.0038</v>
      </c>
      <c r="F38" s="7" t="n">
        <v>3</v>
      </c>
      <c r="G38" s="7" t="n">
        <v>7</v>
      </c>
    </row>
    <row r="39" customFormat="false" ht="15" hidden="false" customHeight="false" outlineLevel="0" collapsed="false">
      <c r="A39" s="9" t="n">
        <v>37</v>
      </c>
      <c r="B39" s="6" t="s">
        <v>57</v>
      </c>
      <c r="C39" s="6" t="s">
        <v>118</v>
      </c>
      <c r="D39" s="8" t="n">
        <v>0.1151</v>
      </c>
      <c r="E39" s="8" t="n">
        <v>0.0016</v>
      </c>
      <c r="F39" s="7" t="n">
        <v>6</v>
      </c>
      <c r="G39" s="7" t="n">
        <v>6</v>
      </c>
    </row>
    <row r="40" customFormat="false" ht="15" hidden="false" customHeight="false" outlineLevel="0" collapsed="false">
      <c r="A40" s="9" t="n">
        <v>38</v>
      </c>
      <c r="B40" s="6" t="s">
        <v>88</v>
      </c>
      <c r="C40" s="6" t="s">
        <v>74</v>
      </c>
      <c r="D40" s="8" t="n">
        <v>0.1145</v>
      </c>
      <c r="E40" s="8" t="n">
        <v>0.0016</v>
      </c>
      <c r="F40" s="7" t="n">
        <v>4</v>
      </c>
      <c r="G40" s="7" t="n">
        <v>19</v>
      </c>
    </row>
    <row r="41" customFormat="false" ht="15" hidden="false" customHeight="false" outlineLevel="0" collapsed="false">
      <c r="A41" s="9" t="n">
        <v>39</v>
      </c>
      <c r="B41" s="6" t="s">
        <v>83</v>
      </c>
      <c r="C41" s="6" t="s">
        <v>93</v>
      </c>
      <c r="D41" s="8" t="n">
        <v>0.114</v>
      </c>
      <c r="E41" s="8" t="n">
        <v>0.0033</v>
      </c>
      <c r="F41" s="7" t="n">
        <v>5</v>
      </c>
      <c r="G41" s="7" t="n">
        <v>5</v>
      </c>
    </row>
    <row r="42" customFormat="false" ht="15" hidden="false" customHeight="false" outlineLevel="0" collapsed="false">
      <c r="A42" s="9" t="n">
        <v>40</v>
      </c>
      <c r="B42" s="6" t="s">
        <v>73</v>
      </c>
      <c r="C42" s="6" t="s">
        <v>67</v>
      </c>
      <c r="D42" s="8" t="n">
        <v>0.1138</v>
      </c>
      <c r="E42" s="8" t="n">
        <v>0.0019</v>
      </c>
      <c r="F42" s="7" t="n">
        <v>4</v>
      </c>
      <c r="G42" s="7" t="n">
        <v>6</v>
      </c>
    </row>
    <row r="43" customFormat="false" ht="15" hidden="false" customHeight="false" outlineLevel="0" collapsed="false">
      <c r="A43" s="9" t="n">
        <v>41</v>
      </c>
      <c r="B43" s="6" t="s">
        <v>123</v>
      </c>
      <c r="C43" s="6" t="s">
        <v>118</v>
      </c>
      <c r="D43" s="8" t="n">
        <v>0.1134</v>
      </c>
      <c r="E43" s="8" t="n">
        <v>0.0006</v>
      </c>
      <c r="F43" s="7" t="n">
        <v>6</v>
      </c>
      <c r="G43" s="7" t="n">
        <v>6</v>
      </c>
    </row>
    <row r="44" customFormat="false" ht="15" hidden="false" customHeight="false" outlineLevel="0" collapsed="false">
      <c r="A44" s="9" t="n">
        <v>42</v>
      </c>
      <c r="B44" s="6" t="s">
        <v>87</v>
      </c>
      <c r="C44" s="6" t="s">
        <v>57</v>
      </c>
      <c r="D44" s="8" t="n">
        <v>0.1123</v>
      </c>
      <c r="E44" s="8" t="n">
        <v>0.0003</v>
      </c>
      <c r="F44" s="7" t="n">
        <v>4</v>
      </c>
      <c r="G44" s="7" t="n">
        <v>6</v>
      </c>
    </row>
    <row r="45" customFormat="false" ht="15" hidden="false" customHeight="false" outlineLevel="0" collapsed="false">
      <c r="A45" s="9" t="n">
        <v>43</v>
      </c>
      <c r="B45" s="6" t="s">
        <v>73</v>
      </c>
      <c r="C45" s="6" t="s">
        <v>118</v>
      </c>
      <c r="D45" s="8" t="n">
        <v>0.11</v>
      </c>
      <c r="E45" s="8" t="n">
        <v>0.0036</v>
      </c>
      <c r="F45" s="7" t="n">
        <v>5</v>
      </c>
      <c r="G45" s="7" t="n">
        <v>6</v>
      </c>
    </row>
    <row r="46" customFormat="false" ht="15" hidden="false" customHeight="false" outlineLevel="0" collapsed="false">
      <c r="A46" s="9" t="n">
        <v>44</v>
      </c>
      <c r="B46" s="6" t="s">
        <v>73</v>
      </c>
      <c r="C46" s="6" t="s">
        <v>61</v>
      </c>
      <c r="D46" s="8" t="n">
        <v>0.1053</v>
      </c>
      <c r="E46" s="8" t="n">
        <v>0.0029</v>
      </c>
      <c r="F46" s="7" t="n">
        <v>4</v>
      </c>
      <c r="G46" s="7" t="n">
        <v>6</v>
      </c>
    </row>
    <row r="47" customFormat="false" ht="15" hidden="false" customHeight="false" outlineLevel="0" collapsed="false">
      <c r="A47" s="9" t="n">
        <v>45</v>
      </c>
      <c r="B47" s="6" t="s">
        <v>87</v>
      </c>
      <c r="C47" s="6" t="s">
        <v>88</v>
      </c>
      <c r="D47" s="8" t="n">
        <v>0.1043</v>
      </c>
      <c r="E47" s="8" t="n">
        <v>0.0004</v>
      </c>
      <c r="F47" s="7" t="n">
        <v>2</v>
      </c>
      <c r="G47" s="7" t="n">
        <v>6</v>
      </c>
    </row>
    <row r="48" customFormat="false" ht="15" hidden="false" customHeight="false" outlineLevel="0" collapsed="false">
      <c r="A48" s="9" t="n">
        <v>46</v>
      </c>
      <c r="B48" s="6" t="s">
        <v>58</v>
      </c>
      <c r="C48" s="6" t="s">
        <v>118</v>
      </c>
      <c r="D48" s="8" t="n">
        <v>0.1008</v>
      </c>
      <c r="E48" s="8" t="n">
        <v>0.0029</v>
      </c>
      <c r="F48" s="7" t="n">
        <v>4</v>
      </c>
      <c r="G48" s="7" t="n">
        <v>6</v>
      </c>
    </row>
    <row r="49" customFormat="false" ht="15" hidden="false" customHeight="false" outlineLevel="0" collapsed="false">
      <c r="A49" s="9" t="n">
        <v>47</v>
      </c>
      <c r="B49" s="6" t="s">
        <v>92</v>
      </c>
      <c r="C49" s="6" t="s">
        <v>118</v>
      </c>
      <c r="D49" s="8" t="n">
        <v>0.0998</v>
      </c>
      <c r="E49" s="8" t="n">
        <v>0.0026</v>
      </c>
      <c r="F49" s="7" t="n">
        <v>7</v>
      </c>
      <c r="G49" s="7" t="n">
        <v>9</v>
      </c>
    </row>
    <row r="50" customFormat="false" ht="15" hidden="false" customHeight="false" outlineLevel="0" collapsed="false">
      <c r="A50" s="9" t="n">
        <v>48</v>
      </c>
      <c r="B50" s="6" t="s">
        <v>57</v>
      </c>
      <c r="C50" s="6" t="s">
        <v>92</v>
      </c>
      <c r="D50" s="8" t="n">
        <v>0.0998</v>
      </c>
      <c r="E50" s="8" t="n">
        <v>0.002</v>
      </c>
      <c r="F50" s="7" t="n">
        <v>4</v>
      </c>
      <c r="G50" s="7" t="n">
        <v>14</v>
      </c>
    </row>
    <row r="51" customFormat="false" ht="15" hidden="false" customHeight="false" outlineLevel="0" collapsed="false">
      <c r="A51" s="9" t="n">
        <v>49</v>
      </c>
      <c r="B51" s="6" t="s">
        <v>57</v>
      </c>
      <c r="C51" s="6" t="s">
        <v>125</v>
      </c>
      <c r="D51" s="8" t="n">
        <v>0.0948</v>
      </c>
      <c r="E51" s="8" t="n">
        <v>0.0029</v>
      </c>
      <c r="F51" s="7" t="n">
        <v>4</v>
      </c>
      <c r="G51" s="7" t="n">
        <v>14</v>
      </c>
    </row>
    <row r="52" customFormat="false" ht="15" hidden="false" customHeight="false" outlineLevel="0" collapsed="false">
      <c r="A52" s="9" t="n">
        <v>50</v>
      </c>
      <c r="B52" s="6" t="s">
        <v>58</v>
      </c>
      <c r="C52" s="6" t="s">
        <v>45</v>
      </c>
      <c r="D52" s="8" t="n">
        <v>0.0842</v>
      </c>
      <c r="E52" s="8" t="n">
        <v>0.0036</v>
      </c>
      <c r="F52" s="7" t="n">
        <v>6</v>
      </c>
      <c r="G52" s="7" t="n">
        <v>7</v>
      </c>
    </row>
    <row r="54" customFormat="false" ht="15" hidden="false" customHeight="false" outlineLevel="0" collapsed="false">
      <c r="A54" s="14" t="s">
        <v>6</v>
      </c>
      <c r="B54" s="14"/>
      <c r="C54" s="14"/>
      <c r="D54" s="14"/>
      <c r="E54" s="14"/>
      <c r="F54" s="14"/>
      <c r="G54" s="14"/>
    </row>
  </sheetData>
  <autoFilter ref="A2:G52"/>
  <mergeCells count="2">
    <mergeCell ref="A1:G1"/>
    <mergeCell ref="A54:G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5"/>
    <col collapsed="false" customWidth="true" hidden="false" outlineLevel="0" max="6" min="6" style="0" width="10"/>
  </cols>
  <sheetData>
    <row r="1" customFormat="false" ht="21.75" hidden="false" customHeight="true" outlineLevel="0" collapsed="false">
      <c r="A1" s="4" t="s">
        <v>163</v>
      </c>
      <c r="B1" s="4"/>
      <c r="C1" s="4"/>
      <c r="D1" s="4"/>
      <c r="E1" s="4"/>
      <c r="F1" s="4"/>
    </row>
    <row r="2" customFormat="false" ht="30" hidden="false" customHeight="true" outlineLevel="0" collapsed="false">
      <c r="A2" s="5" t="s">
        <v>164</v>
      </c>
      <c r="B2" s="5" t="s">
        <v>165</v>
      </c>
      <c r="C2" s="5" t="s">
        <v>166</v>
      </c>
      <c r="D2" s="5" t="s">
        <v>167</v>
      </c>
      <c r="E2" s="5" t="s">
        <v>168</v>
      </c>
      <c r="F2" s="5" t="s">
        <v>169</v>
      </c>
    </row>
    <row r="3" customFormat="false" ht="15" hidden="false" customHeight="false" outlineLevel="0" collapsed="false">
      <c r="A3" s="6" t="s">
        <v>170</v>
      </c>
      <c r="B3" s="7" t="n">
        <v>2</v>
      </c>
      <c r="C3" s="7" t="n">
        <v>6</v>
      </c>
      <c r="D3" s="7" t="n">
        <v>0</v>
      </c>
      <c r="E3" s="7" t="n">
        <v>0</v>
      </c>
      <c r="F3" s="15" t="n">
        <f aca="false">SUM(B3:E3)</f>
        <v>8</v>
      </c>
    </row>
    <row r="4" customFormat="false" ht="15" hidden="false" customHeight="false" outlineLevel="0" collapsed="false">
      <c r="A4" s="6" t="s">
        <v>171</v>
      </c>
      <c r="B4" s="7" t="n">
        <v>0</v>
      </c>
      <c r="C4" s="7" t="n">
        <v>0</v>
      </c>
      <c r="D4" s="7" t="n">
        <v>0</v>
      </c>
      <c r="E4" s="7" t="n">
        <v>0</v>
      </c>
      <c r="F4" s="15" t="n">
        <f aca="false">SUM(B4:E4)</f>
        <v>0</v>
      </c>
    </row>
    <row r="5" customFormat="false" ht="15" hidden="false" customHeight="false" outlineLevel="0" collapsed="false">
      <c r="A5" s="6" t="s">
        <v>172</v>
      </c>
      <c r="B5" s="7" t="n">
        <v>0</v>
      </c>
      <c r="C5" s="7" t="n">
        <v>0</v>
      </c>
      <c r="D5" s="7" t="n">
        <v>0</v>
      </c>
      <c r="E5" s="7" t="n">
        <v>0</v>
      </c>
      <c r="F5" s="15" t="n">
        <f aca="false">SUM(B5:E5)</f>
        <v>0</v>
      </c>
    </row>
    <row r="6" customFormat="false" ht="15" hidden="false" customHeight="false" outlineLevel="0" collapsed="false">
      <c r="A6" s="6" t="s">
        <v>173</v>
      </c>
      <c r="B6" s="7" t="n">
        <v>2</v>
      </c>
      <c r="C6" s="7" t="n">
        <v>4</v>
      </c>
      <c r="D6" s="7" t="n">
        <v>0</v>
      </c>
      <c r="E6" s="7" t="n">
        <v>0</v>
      </c>
      <c r="F6" s="15" t="n">
        <f aca="false">SUM(B6:E6)</f>
        <v>6</v>
      </c>
    </row>
    <row r="7" customFormat="false" ht="15" hidden="false" customHeight="false" outlineLevel="0" collapsed="false">
      <c r="A7" s="6" t="s">
        <v>174</v>
      </c>
      <c r="B7" s="7" t="n">
        <v>4</v>
      </c>
      <c r="C7" s="7" t="n">
        <v>2</v>
      </c>
      <c r="D7" s="7" t="n">
        <v>0</v>
      </c>
      <c r="E7" s="7" t="n">
        <v>0</v>
      </c>
      <c r="F7" s="15" t="n">
        <f aca="false">SUM(B7:E7)</f>
        <v>6</v>
      </c>
    </row>
    <row r="8" customFormat="false" ht="15" hidden="false" customHeight="false" outlineLevel="0" collapsed="false">
      <c r="A8" s="6" t="s">
        <v>175</v>
      </c>
      <c r="B8" s="7" t="n">
        <v>0</v>
      </c>
      <c r="C8" s="7" t="n">
        <v>2</v>
      </c>
      <c r="D8" s="7" t="n">
        <v>0</v>
      </c>
      <c r="E8" s="7" t="n">
        <v>0</v>
      </c>
      <c r="F8" s="15" t="n">
        <f aca="false">SUM(B8:E8)</f>
        <v>2</v>
      </c>
    </row>
    <row r="9" customFormat="false" ht="15" hidden="false" customHeight="false" outlineLevel="0" collapsed="false">
      <c r="A9" s="6" t="s">
        <v>176</v>
      </c>
      <c r="B9" s="7" t="n">
        <v>12</v>
      </c>
      <c r="C9" s="7" t="n">
        <v>139</v>
      </c>
      <c r="D9" s="7" t="n">
        <v>9</v>
      </c>
      <c r="E9" s="7" t="n">
        <v>31</v>
      </c>
      <c r="F9" s="15" t="n">
        <f aca="false">SUM(B9:E9)</f>
        <v>191</v>
      </c>
    </row>
    <row r="10" customFormat="false" ht="15" hidden="false" customHeight="false" outlineLevel="0" collapsed="false">
      <c r="A10" s="6" t="s">
        <v>177</v>
      </c>
      <c r="B10" s="7" t="n">
        <v>3</v>
      </c>
      <c r="C10" s="7" t="n">
        <v>10</v>
      </c>
      <c r="D10" s="7" t="n">
        <v>1</v>
      </c>
      <c r="E10" s="7" t="n">
        <v>1</v>
      </c>
      <c r="F10" s="15" t="n">
        <f aca="false">SUM(B10:E10)</f>
        <v>15</v>
      </c>
    </row>
    <row r="11" customFormat="false" ht="15" hidden="false" customHeight="false" outlineLevel="0" collapsed="false">
      <c r="A11" s="6" t="s">
        <v>178</v>
      </c>
      <c r="B11" s="7" t="n">
        <v>2</v>
      </c>
      <c r="C11" s="7" t="n">
        <v>25</v>
      </c>
      <c r="D11" s="7" t="n">
        <v>0</v>
      </c>
      <c r="E11" s="7" t="n">
        <v>1</v>
      </c>
      <c r="F11" s="15" t="n">
        <f aca="false">SUM(B11:E11)</f>
        <v>28</v>
      </c>
    </row>
    <row r="12" customFormat="false" ht="15" hidden="false" customHeight="false" outlineLevel="0" collapsed="false">
      <c r="A12" s="6" t="s">
        <v>179</v>
      </c>
      <c r="B12" s="7" t="n">
        <v>4</v>
      </c>
      <c r="C12" s="7" t="n">
        <v>18</v>
      </c>
      <c r="D12" s="7" t="n">
        <v>0</v>
      </c>
      <c r="E12" s="7" t="n">
        <v>1</v>
      </c>
      <c r="F12" s="15" t="n">
        <f aca="false">SUM(B12:E12)</f>
        <v>23</v>
      </c>
    </row>
    <row r="13" customFormat="false" ht="15" hidden="false" customHeight="false" outlineLevel="0" collapsed="false">
      <c r="A13" s="6" t="s">
        <v>180</v>
      </c>
      <c r="B13" s="7" t="n">
        <v>2</v>
      </c>
      <c r="C13" s="7" t="n">
        <v>4</v>
      </c>
      <c r="D13" s="7" t="n">
        <v>0</v>
      </c>
      <c r="E13" s="7" t="n">
        <v>0</v>
      </c>
      <c r="F13" s="15" t="n">
        <f aca="false">SUM(B13:E13)</f>
        <v>6</v>
      </c>
    </row>
    <row r="14" customFormat="false" ht="15" hidden="false" customHeight="false" outlineLevel="0" collapsed="false">
      <c r="A14" s="6" t="s">
        <v>181</v>
      </c>
      <c r="B14" s="7" t="n">
        <v>1</v>
      </c>
      <c r="C14" s="7" t="n">
        <v>10</v>
      </c>
      <c r="D14" s="7" t="n">
        <v>1</v>
      </c>
      <c r="E14" s="7" t="n">
        <v>1</v>
      </c>
      <c r="F14" s="15" t="n">
        <f aca="false">SUM(B14:E14)</f>
        <v>13</v>
      </c>
    </row>
    <row r="15" customFormat="false" ht="15" hidden="false" customHeight="false" outlineLevel="0" collapsed="false">
      <c r="A15" s="6" t="s">
        <v>182</v>
      </c>
      <c r="B15" s="7" t="n">
        <v>0</v>
      </c>
      <c r="C15" s="7" t="n">
        <v>2</v>
      </c>
      <c r="D15" s="7" t="n">
        <v>0</v>
      </c>
      <c r="E15" s="7" t="n">
        <v>0</v>
      </c>
      <c r="F15" s="15" t="n">
        <f aca="false">SUM(B15:E15)</f>
        <v>2</v>
      </c>
    </row>
    <row r="16" customFormat="false" ht="15" hidden="false" customHeight="false" outlineLevel="0" collapsed="false">
      <c r="A16" s="6" t="s">
        <v>183</v>
      </c>
      <c r="B16" s="7" t="n">
        <v>1</v>
      </c>
      <c r="C16" s="7" t="n">
        <v>4</v>
      </c>
      <c r="D16" s="7" t="n">
        <v>0</v>
      </c>
      <c r="E16" s="7" t="n">
        <v>0</v>
      </c>
      <c r="F16" s="15" t="n">
        <f aca="false">SUM(B16:E16)</f>
        <v>5</v>
      </c>
    </row>
    <row r="17" customFormat="false" ht="15" hidden="false" customHeight="false" outlineLevel="0" collapsed="false">
      <c r="A17" s="6" t="s">
        <v>184</v>
      </c>
      <c r="B17" s="7" t="n">
        <v>0</v>
      </c>
      <c r="C17" s="7" t="n">
        <v>3</v>
      </c>
      <c r="D17" s="7" t="n">
        <v>0</v>
      </c>
      <c r="E17" s="7" t="n">
        <v>0</v>
      </c>
      <c r="F17" s="15" t="n">
        <f aca="false">SUM(B17:E17)</f>
        <v>3</v>
      </c>
    </row>
    <row r="18" customFormat="false" ht="15" hidden="false" customHeight="false" outlineLevel="0" collapsed="false">
      <c r="A18" s="6" t="s">
        <v>185</v>
      </c>
      <c r="B18" s="7" t="n">
        <v>4</v>
      </c>
      <c r="C18" s="7" t="n">
        <v>6</v>
      </c>
      <c r="D18" s="7" t="n">
        <v>0</v>
      </c>
      <c r="E18" s="7" t="n">
        <v>0</v>
      </c>
      <c r="F18" s="15" t="n">
        <f aca="false">SUM(B18:E18)</f>
        <v>10</v>
      </c>
    </row>
    <row r="19" customFormat="false" ht="15" hidden="false" customHeight="false" outlineLevel="0" collapsed="false">
      <c r="A19" s="6" t="s">
        <v>186</v>
      </c>
      <c r="B19" s="7" t="n">
        <v>2</v>
      </c>
      <c r="C19" s="7" t="n">
        <v>3</v>
      </c>
      <c r="D19" s="7" t="n">
        <v>0</v>
      </c>
      <c r="E19" s="7" t="n">
        <v>0</v>
      </c>
      <c r="F19" s="15" t="n">
        <f aca="false">SUM(B19:E19)</f>
        <v>5</v>
      </c>
    </row>
    <row r="20" customFormat="false" ht="15" hidden="false" customHeight="false" outlineLevel="0" collapsed="false">
      <c r="A20" s="6" t="s">
        <v>187</v>
      </c>
      <c r="B20" s="7" t="n">
        <v>7</v>
      </c>
      <c r="C20" s="7" t="n">
        <v>42</v>
      </c>
      <c r="D20" s="7" t="n">
        <v>4</v>
      </c>
      <c r="E20" s="7" t="n">
        <v>6</v>
      </c>
      <c r="F20" s="15" t="n">
        <f aca="false">SUM(B20:E20)</f>
        <v>59</v>
      </c>
    </row>
    <row r="21" customFormat="false" ht="15" hidden="false" customHeight="false" outlineLevel="0" collapsed="false">
      <c r="A21" s="6" t="s">
        <v>188</v>
      </c>
      <c r="B21" s="7" t="n">
        <v>1</v>
      </c>
      <c r="C21" s="7" t="n">
        <v>7</v>
      </c>
      <c r="D21" s="7" t="n">
        <v>0</v>
      </c>
      <c r="E21" s="7" t="n">
        <v>0</v>
      </c>
      <c r="F21" s="15" t="n">
        <f aca="false">SUM(B21:E21)</f>
        <v>8</v>
      </c>
    </row>
    <row r="22" customFormat="false" ht="15" hidden="false" customHeight="false" outlineLevel="0" collapsed="false">
      <c r="A22" s="6" t="s">
        <v>189</v>
      </c>
      <c r="B22" s="7" t="n">
        <v>9</v>
      </c>
      <c r="C22" s="7" t="n">
        <v>105</v>
      </c>
      <c r="D22" s="7" t="n">
        <v>1</v>
      </c>
      <c r="E22" s="7" t="n">
        <v>3</v>
      </c>
      <c r="F22" s="15" t="n">
        <f aca="false">SUM(B22:E22)</f>
        <v>118</v>
      </c>
    </row>
    <row r="23" customFormat="false" ht="15" hidden="false" customHeight="false" outlineLevel="0" collapsed="false">
      <c r="A23" s="6" t="s">
        <v>190</v>
      </c>
      <c r="B23" s="7" t="n">
        <v>1</v>
      </c>
      <c r="C23" s="7" t="n">
        <v>4</v>
      </c>
      <c r="D23" s="7" t="n">
        <v>0</v>
      </c>
      <c r="E23" s="7" t="n">
        <v>0</v>
      </c>
      <c r="F23" s="15" t="n">
        <f aca="false">SUM(B23:E23)</f>
        <v>5</v>
      </c>
    </row>
    <row r="24" customFormat="false" ht="15" hidden="false" customHeight="false" outlineLevel="0" collapsed="false">
      <c r="A24" s="6" t="s">
        <v>191</v>
      </c>
      <c r="B24" s="7" t="n">
        <v>0</v>
      </c>
      <c r="C24" s="7" t="n">
        <v>1</v>
      </c>
      <c r="D24" s="7" t="n">
        <v>0</v>
      </c>
      <c r="E24" s="7" t="n">
        <v>0</v>
      </c>
      <c r="F24" s="15" t="n">
        <f aca="false">SUM(B24:E24)</f>
        <v>1</v>
      </c>
    </row>
    <row r="25" customFormat="false" ht="15" hidden="false" customHeight="false" outlineLevel="0" collapsed="false">
      <c r="A25" s="6" t="s">
        <v>192</v>
      </c>
      <c r="B25" s="7" t="n">
        <v>6</v>
      </c>
      <c r="C25" s="7" t="n">
        <v>107</v>
      </c>
      <c r="D25" s="7" t="n">
        <v>2</v>
      </c>
      <c r="E25" s="7" t="n">
        <v>5</v>
      </c>
      <c r="F25" s="15" t="n">
        <f aca="false">SUM(B25:E25)</f>
        <v>120</v>
      </c>
    </row>
    <row r="26" customFormat="false" ht="15" hidden="false" customHeight="false" outlineLevel="0" collapsed="false">
      <c r="A26" s="6" t="s">
        <v>193</v>
      </c>
      <c r="B26" s="7" t="n">
        <v>4</v>
      </c>
      <c r="C26" s="7" t="n">
        <v>10</v>
      </c>
      <c r="D26" s="7" t="n">
        <v>0</v>
      </c>
      <c r="E26" s="7" t="n">
        <v>0</v>
      </c>
      <c r="F26" s="15" t="n">
        <f aca="false">SUM(B26:E26)</f>
        <v>14</v>
      </c>
    </row>
    <row r="27" customFormat="false" ht="15" hidden="false" customHeight="false" outlineLevel="0" collapsed="false">
      <c r="A27" s="6" t="s">
        <v>194</v>
      </c>
      <c r="B27" s="7" t="n">
        <v>3</v>
      </c>
      <c r="C27" s="7" t="n">
        <v>6</v>
      </c>
      <c r="D27" s="7" t="n">
        <v>0</v>
      </c>
      <c r="E27" s="7" t="n">
        <v>0</v>
      </c>
      <c r="F27" s="15" t="n">
        <f aca="false">SUM(B27:E27)</f>
        <v>9</v>
      </c>
    </row>
    <row r="28" customFormat="false" ht="15" hidden="false" customHeight="false" outlineLevel="0" collapsed="false">
      <c r="A28" s="6" t="s">
        <v>195</v>
      </c>
      <c r="B28" s="7" t="n">
        <v>1</v>
      </c>
      <c r="C28" s="7" t="n">
        <v>7</v>
      </c>
      <c r="D28" s="7" t="n">
        <v>0</v>
      </c>
      <c r="E28" s="7" t="n">
        <v>0</v>
      </c>
      <c r="F28" s="15" t="n">
        <f aca="false">SUM(B28:E28)</f>
        <v>8</v>
      </c>
    </row>
    <row r="29" customFormat="false" ht="15" hidden="false" customHeight="false" outlineLevel="0" collapsed="false">
      <c r="A29" s="6" t="s">
        <v>196</v>
      </c>
      <c r="B29" s="7" t="n">
        <v>1</v>
      </c>
      <c r="C29" s="7" t="n">
        <v>1</v>
      </c>
      <c r="D29" s="7" t="n">
        <v>0</v>
      </c>
      <c r="E29" s="7" t="n">
        <v>1</v>
      </c>
      <c r="F29" s="15" t="n">
        <f aca="false">SUM(B29:E29)</f>
        <v>3</v>
      </c>
    </row>
    <row r="30" customFormat="false" ht="15" hidden="false" customHeight="false" outlineLevel="0" collapsed="false">
      <c r="A30" s="6" t="s">
        <v>197</v>
      </c>
      <c r="B30" s="7" t="n">
        <v>1</v>
      </c>
      <c r="C30" s="7" t="n">
        <v>3</v>
      </c>
      <c r="D30" s="7" t="n">
        <v>0</v>
      </c>
      <c r="E30" s="7" t="n">
        <v>0</v>
      </c>
      <c r="F30" s="15" t="n">
        <f aca="false">SUM(B30:E30)</f>
        <v>4</v>
      </c>
    </row>
    <row r="31" customFormat="false" ht="15" hidden="false" customHeight="false" outlineLevel="0" collapsed="false">
      <c r="A31" s="6" t="s">
        <v>198</v>
      </c>
      <c r="B31" s="7" t="n">
        <v>1</v>
      </c>
      <c r="C31" s="7" t="n">
        <v>16</v>
      </c>
      <c r="D31" s="7" t="n">
        <v>0</v>
      </c>
      <c r="E31" s="7" t="n">
        <v>0</v>
      </c>
      <c r="F31" s="15" t="n">
        <f aca="false">SUM(B31:E31)</f>
        <v>17</v>
      </c>
    </row>
    <row r="32" customFormat="false" ht="15" hidden="false" customHeight="false" outlineLevel="0" collapsed="false">
      <c r="A32" s="6" t="s">
        <v>199</v>
      </c>
      <c r="B32" s="7" t="n">
        <v>2</v>
      </c>
      <c r="C32" s="7" t="n">
        <v>3</v>
      </c>
      <c r="D32" s="7" t="n">
        <v>0</v>
      </c>
      <c r="E32" s="7" t="n">
        <v>0</v>
      </c>
      <c r="F32" s="15" t="n">
        <f aca="false">SUM(B32:E32)</f>
        <v>5</v>
      </c>
    </row>
    <row r="33" customFormat="false" ht="15" hidden="false" customHeight="false" outlineLevel="0" collapsed="false">
      <c r="A33" s="6" t="s">
        <v>200</v>
      </c>
      <c r="B33" s="7" t="n">
        <v>3</v>
      </c>
      <c r="C33" s="7" t="n">
        <v>16</v>
      </c>
      <c r="D33" s="7" t="n">
        <v>2</v>
      </c>
      <c r="E33" s="7" t="n">
        <v>3</v>
      </c>
      <c r="F33" s="15" t="n">
        <f aca="false">SUM(B33:E33)</f>
        <v>24</v>
      </c>
    </row>
    <row r="34" customFormat="false" ht="15" hidden="false" customHeight="false" outlineLevel="0" collapsed="false">
      <c r="A34" s="6" t="s">
        <v>201</v>
      </c>
      <c r="B34" s="7" t="n">
        <v>1</v>
      </c>
      <c r="C34" s="7" t="n">
        <v>18</v>
      </c>
      <c r="D34" s="7" t="n">
        <v>0</v>
      </c>
      <c r="E34" s="7" t="n">
        <v>0</v>
      </c>
      <c r="F34" s="15" t="n">
        <f aca="false">SUM(B34:E34)</f>
        <v>19</v>
      </c>
    </row>
    <row r="35" customFormat="false" ht="15" hidden="false" customHeight="false" outlineLevel="0" collapsed="false">
      <c r="A35" s="6" t="s">
        <v>202</v>
      </c>
      <c r="B35" s="7" t="n">
        <v>5</v>
      </c>
      <c r="C35" s="7" t="n">
        <v>9</v>
      </c>
      <c r="D35" s="7" t="n">
        <v>0</v>
      </c>
      <c r="E35" s="7" t="n">
        <v>0</v>
      </c>
      <c r="F35" s="15" t="n">
        <f aca="false">SUM(B35:E35)</f>
        <v>14</v>
      </c>
    </row>
    <row r="36" customFormat="false" ht="15" hidden="false" customHeight="false" outlineLevel="0" collapsed="false">
      <c r="A36" s="6" t="s">
        <v>203</v>
      </c>
      <c r="B36" s="7" t="n">
        <v>1</v>
      </c>
      <c r="C36" s="7" t="n">
        <v>1</v>
      </c>
      <c r="D36" s="7" t="n">
        <v>0</v>
      </c>
      <c r="E36" s="7" t="n">
        <v>0</v>
      </c>
      <c r="F36" s="15" t="n">
        <f aca="false">SUM(B36:E36)</f>
        <v>2</v>
      </c>
    </row>
    <row r="37" customFormat="false" ht="15" hidden="false" customHeight="false" outlineLevel="0" collapsed="false">
      <c r="A37" s="6" t="s">
        <v>204</v>
      </c>
      <c r="B37" s="7" t="n">
        <v>8</v>
      </c>
      <c r="C37" s="7" t="n">
        <v>51</v>
      </c>
      <c r="D37" s="7" t="n">
        <v>0</v>
      </c>
      <c r="E37" s="7" t="n">
        <v>0</v>
      </c>
      <c r="F37" s="15" t="n">
        <f aca="false">SUM(B37:E37)</f>
        <v>59</v>
      </c>
    </row>
    <row r="38" customFormat="false" ht="15" hidden="false" customHeight="false" outlineLevel="0" collapsed="false">
      <c r="A38" s="6" t="s">
        <v>205</v>
      </c>
      <c r="B38" s="7" t="n">
        <v>4</v>
      </c>
      <c r="C38" s="7" t="n">
        <v>8</v>
      </c>
      <c r="D38" s="7" t="n">
        <v>0</v>
      </c>
      <c r="E38" s="7" t="n">
        <v>0</v>
      </c>
      <c r="F38" s="15" t="n">
        <f aca="false">SUM(B38:E38)</f>
        <v>12</v>
      </c>
    </row>
    <row r="39" customFormat="false" ht="15" hidden="false" customHeight="false" outlineLevel="0" collapsed="false">
      <c r="A39" s="6" t="s">
        <v>206</v>
      </c>
      <c r="B39" s="7" t="n">
        <v>0</v>
      </c>
      <c r="C39" s="7" t="n">
        <v>16</v>
      </c>
      <c r="D39" s="7" t="n">
        <v>0</v>
      </c>
      <c r="E39" s="7" t="n">
        <v>0</v>
      </c>
      <c r="F39" s="15" t="n">
        <f aca="false">SUM(B39:E39)</f>
        <v>16</v>
      </c>
    </row>
    <row r="40" customFormat="false" ht="15" hidden="false" customHeight="false" outlineLevel="0" collapsed="false">
      <c r="A40" s="6" t="s">
        <v>207</v>
      </c>
      <c r="B40" s="7" t="n">
        <v>1</v>
      </c>
      <c r="C40" s="7" t="n">
        <v>4</v>
      </c>
      <c r="D40" s="7" t="n">
        <v>0</v>
      </c>
      <c r="E40" s="7" t="n">
        <v>0</v>
      </c>
      <c r="F40" s="15" t="n">
        <f aca="false">SUM(B40:E40)</f>
        <v>5</v>
      </c>
    </row>
    <row r="41" customFormat="false" ht="15" hidden="false" customHeight="false" outlineLevel="0" collapsed="false">
      <c r="A41" s="6" t="s">
        <v>208</v>
      </c>
      <c r="B41" s="7" t="n">
        <v>3</v>
      </c>
      <c r="C41" s="7" t="n">
        <v>46</v>
      </c>
      <c r="D41" s="7" t="n">
        <v>0</v>
      </c>
      <c r="E41" s="7" t="n">
        <v>0</v>
      </c>
      <c r="F41" s="15" t="n">
        <f aca="false">SUM(B41:E41)</f>
        <v>49</v>
      </c>
    </row>
    <row r="42" customFormat="false" ht="15" hidden="false" customHeight="false" outlineLevel="0" collapsed="false">
      <c r="A42" s="6" t="s">
        <v>209</v>
      </c>
      <c r="B42" s="7" t="n">
        <v>0</v>
      </c>
      <c r="C42" s="7" t="n">
        <v>2</v>
      </c>
      <c r="D42" s="7" t="n">
        <v>0</v>
      </c>
      <c r="E42" s="7" t="n">
        <v>0</v>
      </c>
      <c r="F42" s="15" t="n">
        <f aca="false">SUM(B42:E42)</f>
        <v>2</v>
      </c>
    </row>
    <row r="43" customFormat="false" ht="15" hidden="false" customHeight="false" outlineLevel="0" collapsed="false">
      <c r="A43" s="6" t="s">
        <v>210</v>
      </c>
      <c r="B43" s="7" t="n">
        <v>3</v>
      </c>
      <c r="C43" s="7" t="n">
        <v>15</v>
      </c>
      <c r="D43" s="7" t="n">
        <v>3</v>
      </c>
      <c r="E43" s="7" t="n">
        <v>9</v>
      </c>
      <c r="F43" s="15" t="n">
        <f aca="false">SUM(B43:E43)</f>
        <v>30</v>
      </c>
    </row>
    <row r="44" customFormat="false" ht="15" hidden="false" customHeight="false" outlineLevel="0" collapsed="false">
      <c r="A44" s="6" t="s">
        <v>211</v>
      </c>
      <c r="B44" s="7" t="n">
        <v>3</v>
      </c>
      <c r="C44" s="7" t="n">
        <v>3</v>
      </c>
      <c r="D44" s="7" t="n">
        <v>0</v>
      </c>
      <c r="E44" s="7" t="n">
        <v>0</v>
      </c>
      <c r="F44" s="15" t="n">
        <f aca="false">SUM(B44:E44)</f>
        <v>6</v>
      </c>
    </row>
    <row r="45" customFormat="false" ht="15" hidden="false" customHeight="false" outlineLevel="0" collapsed="false">
      <c r="A45" s="6" t="s">
        <v>212</v>
      </c>
      <c r="B45" s="7" t="n">
        <v>3</v>
      </c>
      <c r="C45" s="7" t="n">
        <v>8</v>
      </c>
      <c r="D45" s="7" t="n">
        <v>0</v>
      </c>
      <c r="E45" s="7" t="n">
        <v>0</v>
      </c>
      <c r="F45" s="15" t="n">
        <f aca="false">SUM(B45:E45)</f>
        <v>11</v>
      </c>
    </row>
    <row r="46" customFormat="false" ht="15" hidden="false" customHeight="false" outlineLevel="0" collapsed="false">
      <c r="A46" s="6" t="s">
        <v>213</v>
      </c>
      <c r="B46" s="7" t="n">
        <v>3</v>
      </c>
      <c r="C46" s="7" t="n">
        <v>8</v>
      </c>
      <c r="D46" s="7" t="n">
        <v>0</v>
      </c>
      <c r="E46" s="7" t="n">
        <v>0</v>
      </c>
      <c r="F46" s="15" t="n">
        <f aca="false">SUM(B46:E46)</f>
        <v>11</v>
      </c>
    </row>
    <row r="47" customFormat="false" ht="15" hidden="false" customHeight="false" outlineLevel="0" collapsed="false">
      <c r="A47" s="6" t="s">
        <v>214</v>
      </c>
      <c r="B47" s="7" t="n">
        <v>2</v>
      </c>
      <c r="C47" s="7" t="n">
        <v>4</v>
      </c>
      <c r="D47" s="7" t="n">
        <v>0</v>
      </c>
      <c r="E47" s="7" t="n">
        <v>0</v>
      </c>
      <c r="F47" s="15" t="n">
        <f aca="false">SUM(B47:E47)</f>
        <v>6</v>
      </c>
    </row>
    <row r="48" customFormat="false" ht="15" hidden="false" customHeight="false" outlineLevel="0" collapsed="false">
      <c r="A48" s="6" t="s">
        <v>215</v>
      </c>
      <c r="B48" s="7" t="n">
        <v>3</v>
      </c>
      <c r="C48" s="7" t="n">
        <v>40</v>
      </c>
      <c r="D48" s="7" t="n">
        <v>0</v>
      </c>
      <c r="E48" s="7" t="n">
        <v>0</v>
      </c>
      <c r="F48" s="15" t="n">
        <f aca="false">SUM(B48:E48)</f>
        <v>43</v>
      </c>
    </row>
    <row r="49" customFormat="false" ht="15" hidden="false" customHeight="false" outlineLevel="0" collapsed="false">
      <c r="A49" s="6" t="s">
        <v>216</v>
      </c>
      <c r="B49" s="7" t="n">
        <v>3</v>
      </c>
      <c r="C49" s="7" t="n">
        <v>54</v>
      </c>
      <c r="D49" s="7" t="n">
        <v>0</v>
      </c>
      <c r="E49" s="7" t="n">
        <v>4</v>
      </c>
      <c r="F49" s="15" t="n">
        <f aca="false">SUM(B49:E49)</f>
        <v>61</v>
      </c>
    </row>
    <row r="50" customFormat="false" ht="15" hidden="false" customHeight="false" outlineLevel="0" collapsed="false">
      <c r="A50" s="6" t="s">
        <v>217</v>
      </c>
      <c r="B50" s="7" t="n">
        <v>1</v>
      </c>
      <c r="C50" s="7" t="n">
        <v>4</v>
      </c>
      <c r="D50" s="7" t="n">
        <v>0</v>
      </c>
      <c r="E50" s="7" t="n">
        <v>0</v>
      </c>
      <c r="F50" s="15" t="n">
        <f aca="false">SUM(B50:E50)</f>
        <v>5</v>
      </c>
    </row>
    <row r="51" customFormat="false" ht="15" hidden="false" customHeight="false" outlineLevel="0" collapsed="false">
      <c r="A51" s="6" t="s">
        <v>218</v>
      </c>
      <c r="B51" s="7" t="n">
        <v>2</v>
      </c>
      <c r="C51" s="7" t="n">
        <v>1</v>
      </c>
      <c r="D51" s="7" t="n">
        <v>0</v>
      </c>
      <c r="E51" s="7" t="n">
        <v>0</v>
      </c>
      <c r="F51" s="15" t="n">
        <f aca="false">SUM(B51:E51)</f>
        <v>3</v>
      </c>
    </row>
    <row r="52" customFormat="false" ht="15" hidden="false" customHeight="false" outlineLevel="0" collapsed="false">
      <c r="A52" s="6" t="s">
        <v>219</v>
      </c>
      <c r="B52" s="7" t="n">
        <v>1</v>
      </c>
      <c r="C52" s="7" t="n">
        <v>15</v>
      </c>
      <c r="D52" s="7" t="n">
        <v>0</v>
      </c>
      <c r="E52" s="7" t="n">
        <v>0</v>
      </c>
      <c r="F52" s="15" t="n">
        <f aca="false">SUM(B52:E52)</f>
        <v>16</v>
      </c>
    </row>
    <row r="53" customFormat="false" ht="15" hidden="false" customHeight="false" outlineLevel="0" collapsed="false">
      <c r="A53" s="6" t="s">
        <v>220</v>
      </c>
      <c r="B53" s="7" t="n">
        <v>3</v>
      </c>
      <c r="C53" s="7" t="n">
        <v>9</v>
      </c>
      <c r="D53" s="7" t="n">
        <v>0</v>
      </c>
      <c r="E53" s="7" t="n">
        <v>0</v>
      </c>
      <c r="F53" s="15" t="n">
        <f aca="false">SUM(B53:E53)</f>
        <v>12</v>
      </c>
    </row>
    <row r="54" customFormat="false" ht="15" hidden="false" customHeight="false" outlineLevel="0" collapsed="false">
      <c r="A54" s="6" t="s">
        <v>221</v>
      </c>
      <c r="B54" s="7" t="n">
        <v>3</v>
      </c>
      <c r="C54" s="7" t="n">
        <v>3</v>
      </c>
      <c r="D54" s="7" t="n">
        <v>0</v>
      </c>
      <c r="E54" s="7" t="n">
        <v>0</v>
      </c>
      <c r="F54" s="15" t="n">
        <f aca="false">SUM(B54:E54)</f>
        <v>6</v>
      </c>
    </row>
    <row r="55" customFormat="false" ht="15" hidden="false" customHeight="false" outlineLevel="0" collapsed="false">
      <c r="A55" s="6" t="s">
        <v>222</v>
      </c>
      <c r="B55" s="7" t="n">
        <v>6</v>
      </c>
      <c r="C55" s="7" t="n">
        <v>34</v>
      </c>
      <c r="D55" s="7" t="n">
        <v>0</v>
      </c>
      <c r="E55" s="7" t="n">
        <v>1</v>
      </c>
      <c r="F55" s="15" t="n">
        <f aca="false">SUM(B55:E55)</f>
        <v>41</v>
      </c>
    </row>
    <row r="56" customFormat="false" ht="15" hidden="false" customHeight="false" outlineLevel="0" collapsed="false">
      <c r="A56" s="6" t="s">
        <v>223</v>
      </c>
      <c r="B56" s="7" t="n">
        <v>3</v>
      </c>
      <c r="C56" s="7" t="n">
        <v>6</v>
      </c>
      <c r="D56" s="7" t="n">
        <v>0</v>
      </c>
      <c r="E56" s="7" t="n">
        <v>0</v>
      </c>
      <c r="F56" s="15" t="n">
        <f aca="false">SUM(B56:E56)</f>
        <v>9</v>
      </c>
    </row>
    <row r="57" customFormat="false" ht="15" hidden="false" customHeight="false" outlineLevel="0" collapsed="false">
      <c r="A57" s="6" t="s">
        <v>224</v>
      </c>
      <c r="B57" s="7" t="n">
        <v>1</v>
      </c>
      <c r="C57" s="7" t="n">
        <v>13</v>
      </c>
      <c r="D57" s="7" t="n">
        <v>0</v>
      </c>
      <c r="E57" s="7" t="n">
        <v>0</v>
      </c>
      <c r="F57" s="15" t="n">
        <f aca="false">SUM(B57:E57)</f>
        <v>14</v>
      </c>
    </row>
    <row r="58" customFormat="false" ht="15" hidden="false" customHeight="false" outlineLevel="0" collapsed="false">
      <c r="A58" s="6" t="s">
        <v>225</v>
      </c>
      <c r="B58" s="7" t="n">
        <v>1</v>
      </c>
      <c r="C58" s="7" t="n">
        <v>0</v>
      </c>
      <c r="D58" s="7" t="n">
        <v>0</v>
      </c>
      <c r="E58" s="7" t="n">
        <v>0</v>
      </c>
      <c r="F58" s="15" t="n">
        <f aca="false">SUM(B58:E58)</f>
        <v>1</v>
      </c>
    </row>
    <row r="59" customFormat="false" ht="15" hidden="false" customHeight="false" outlineLevel="0" collapsed="false">
      <c r="A59" s="6" t="s">
        <v>226</v>
      </c>
      <c r="B59" s="7" t="n">
        <v>4</v>
      </c>
      <c r="C59" s="7" t="n">
        <v>23</v>
      </c>
      <c r="D59" s="7" t="n">
        <v>0</v>
      </c>
      <c r="E59" s="7" t="n">
        <v>1</v>
      </c>
      <c r="F59" s="15" t="n">
        <f aca="false">SUM(B59:E59)</f>
        <v>28</v>
      </c>
    </row>
    <row r="60" customFormat="false" ht="15" hidden="false" customHeight="false" outlineLevel="0" collapsed="false">
      <c r="A60" s="6" t="s">
        <v>227</v>
      </c>
      <c r="B60" s="7" t="n">
        <v>2</v>
      </c>
      <c r="C60" s="7" t="n">
        <v>5</v>
      </c>
      <c r="D60" s="7" t="n">
        <v>0</v>
      </c>
      <c r="E60" s="7" t="n">
        <v>0</v>
      </c>
      <c r="F60" s="15" t="n">
        <f aca="false">SUM(B60:E60)</f>
        <v>7</v>
      </c>
    </row>
    <row r="61" customFormat="false" ht="15" hidden="false" customHeight="false" outlineLevel="0" collapsed="false">
      <c r="A61" s="6" t="s">
        <v>228</v>
      </c>
      <c r="B61" s="7" t="n">
        <v>5</v>
      </c>
      <c r="C61" s="7" t="n">
        <v>28</v>
      </c>
      <c r="D61" s="7" t="n">
        <v>1</v>
      </c>
      <c r="E61" s="7" t="n">
        <v>1</v>
      </c>
      <c r="F61" s="15" t="n">
        <f aca="false">SUM(B61:E61)</f>
        <v>35</v>
      </c>
    </row>
    <row r="62" customFormat="false" ht="15" hidden="false" customHeight="false" outlineLevel="0" collapsed="false">
      <c r="A62" s="6" t="s">
        <v>229</v>
      </c>
      <c r="B62" s="7" t="n">
        <v>1</v>
      </c>
      <c r="C62" s="7" t="n">
        <v>18</v>
      </c>
      <c r="D62" s="7" t="n">
        <v>0</v>
      </c>
      <c r="E62" s="7" t="n">
        <v>0</v>
      </c>
      <c r="F62" s="15" t="n">
        <f aca="false">SUM(B62:E62)</f>
        <v>19</v>
      </c>
    </row>
    <row r="63" customFormat="false" ht="15" hidden="false" customHeight="false" outlineLevel="0" collapsed="false">
      <c r="A63" s="6" t="s">
        <v>230</v>
      </c>
      <c r="B63" s="7" t="n">
        <v>0</v>
      </c>
      <c r="C63" s="7" t="n">
        <v>1</v>
      </c>
      <c r="D63" s="7" t="n">
        <v>0</v>
      </c>
      <c r="E63" s="7" t="n">
        <v>0</v>
      </c>
      <c r="F63" s="15" t="n">
        <f aca="false">SUM(B63:E63)</f>
        <v>1</v>
      </c>
    </row>
    <row r="64" customFormat="false" ht="15" hidden="false" customHeight="false" outlineLevel="0" collapsed="false">
      <c r="A64" s="6" t="s">
        <v>231</v>
      </c>
      <c r="B64" s="7" t="n">
        <v>2</v>
      </c>
      <c r="C64" s="7" t="n">
        <v>6</v>
      </c>
      <c r="D64" s="7" t="n">
        <v>0</v>
      </c>
      <c r="E64" s="7" t="n">
        <v>0</v>
      </c>
      <c r="F64" s="15" t="n">
        <f aca="false">SUM(B64:E64)</f>
        <v>8</v>
      </c>
    </row>
    <row r="65" customFormat="false" ht="15" hidden="false" customHeight="false" outlineLevel="0" collapsed="false">
      <c r="A65" s="6" t="s">
        <v>232</v>
      </c>
      <c r="B65" s="7" t="n">
        <v>5</v>
      </c>
      <c r="C65" s="7" t="n">
        <v>10</v>
      </c>
      <c r="D65" s="7" t="n">
        <v>0</v>
      </c>
      <c r="E65" s="7" t="n">
        <v>0</v>
      </c>
      <c r="F65" s="15" t="n">
        <f aca="false">SUM(B65:E65)</f>
        <v>15</v>
      </c>
    </row>
    <row r="66" customFormat="false" ht="15" hidden="false" customHeight="false" outlineLevel="0" collapsed="false">
      <c r="A66" s="6" t="s">
        <v>233</v>
      </c>
      <c r="B66" s="7" t="n">
        <v>3</v>
      </c>
      <c r="C66" s="7" t="n">
        <v>5</v>
      </c>
      <c r="D66" s="7" t="n">
        <v>0</v>
      </c>
      <c r="E66" s="7" t="n">
        <v>0</v>
      </c>
      <c r="F66" s="15" t="n">
        <f aca="false">SUM(B66:E66)</f>
        <v>8</v>
      </c>
    </row>
    <row r="67" customFormat="false" ht="15" hidden="false" customHeight="false" outlineLevel="0" collapsed="false">
      <c r="A67" s="6" t="s">
        <v>234</v>
      </c>
      <c r="B67" s="7" t="n">
        <v>2</v>
      </c>
      <c r="C67" s="7" t="n">
        <v>2</v>
      </c>
      <c r="D67" s="7" t="n">
        <v>0</v>
      </c>
      <c r="E67" s="7" t="n">
        <v>0</v>
      </c>
      <c r="F67" s="15" t="n">
        <f aca="false">SUM(B67:E67)</f>
        <v>4</v>
      </c>
    </row>
    <row r="68" customFormat="false" ht="15" hidden="false" customHeight="false" outlineLevel="0" collapsed="false">
      <c r="A68" s="6" t="s">
        <v>235</v>
      </c>
      <c r="B68" s="7" t="n">
        <v>2</v>
      </c>
      <c r="C68" s="7" t="n">
        <v>3</v>
      </c>
      <c r="D68" s="7" t="n">
        <v>0</v>
      </c>
      <c r="E68" s="7" t="n">
        <v>0</v>
      </c>
      <c r="F68" s="15" t="n">
        <f aca="false">SUM(B68:E68)</f>
        <v>5</v>
      </c>
    </row>
    <row r="69" customFormat="false" ht="15" hidden="false" customHeight="false" outlineLevel="0" collapsed="false">
      <c r="A69" s="6" t="s">
        <v>236</v>
      </c>
      <c r="B69" s="7" t="n">
        <v>2</v>
      </c>
      <c r="C69" s="7" t="n">
        <v>7</v>
      </c>
      <c r="D69" s="7" t="n">
        <v>0</v>
      </c>
      <c r="E69" s="7" t="n">
        <v>2</v>
      </c>
      <c r="F69" s="15" t="n">
        <f aca="false">SUM(B69:E69)</f>
        <v>11</v>
      </c>
    </row>
    <row r="70" customFormat="false" ht="15" hidden="false" customHeight="false" outlineLevel="0" collapsed="false">
      <c r="A70" s="6" t="s">
        <v>237</v>
      </c>
      <c r="B70" s="7" t="n">
        <v>3</v>
      </c>
      <c r="C70" s="7" t="n">
        <v>3</v>
      </c>
      <c r="D70" s="7" t="n">
        <v>0</v>
      </c>
      <c r="E70" s="7" t="n">
        <v>0</v>
      </c>
      <c r="F70" s="15" t="n">
        <f aca="false">SUM(B70:E70)</f>
        <v>6</v>
      </c>
    </row>
    <row r="71" customFormat="false" ht="15" hidden="false" customHeight="false" outlineLevel="0" collapsed="false">
      <c r="A71" s="6" t="s">
        <v>238</v>
      </c>
      <c r="B71" s="7" t="n">
        <v>5</v>
      </c>
      <c r="C71" s="7" t="n">
        <v>30</v>
      </c>
      <c r="D71" s="7" t="n">
        <v>2</v>
      </c>
      <c r="E71" s="7" t="n">
        <v>5</v>
      </c>
      <c r="F71" s="15" t="n">
        <f aca="false">SUM(B71:E71)</f>
        <v>42</v>
      </c>
    </row>
    <row r="72" customFormat="false" ht="15" hidden="false" customHeight="false" outlineLevel="0" collapsed="false">
      <c r="A72" s="6" t="s">
        <v>239</v>
      </c>
      <c r="B72" s="7" t="n">
        <v>3</v>
      </c>
      <c r="C72" s="7" t="n">
        <v>6</v>
      </c>
      <c r="D72" s="7" t="n">
        <v>0</v>
      </c>
      <c r="E72" s="7" t="n">
        <v>0</v>
      </c>
      <c r="F72" s="15" t="n">
        <f aca="false">SUM(B72:E72)</f>
        <v>9</v>
      </c>
    </row>
    <row r="73" customFormat="false" ht="15" hidden="false" customHeight="false" outlineLevel="0" collapsed="false">
      <c r="A73" s="6" t="s">
        <v>240</v>
      </c>
      <c r="B73" s="7" t="n">
        <v>2</v>
      </c>
      <c r="C73" s="7" t="n">
        <v>14</v>
      </c>
      <c r="D73" s="7" t="n">
        <v>0</v>
      </c>
      <c r="E73" s="7" t="n">
        <v>0</v>
      </c>
      <c r="F73" s="15" t="n">
        <f aca="false">SUM(B73:E73)</f>
        <v>16</v>
      </c>
    </row>
    <row r="74" customFormat="false" ht="15" hidden="false" customHeight="false" outlineLevel="0" collapsed="false">
      <c r="A74" s="6" t="s">
        <v>241</v>
      </c>
      <c r="B74" s="7" t="n">
        <v>10</v>
      </c>
      <c r="C74" s="7" t="n">
        <v>106</v>
      </c>
      <c r="D74" s="7" t="n">
        <v>5</v>
      </c>
      <c r="E74" s="7" t="n">
        <v>18</v>
      </c>
      <c r="F74" s="15" t="n">
        <f aca="false">SUM(B74:E74)</f>
        <v>139</v>
      </c>
    </row>
    <row r="75" customFormat="false" ht="15" hidden="false" customHeight="false" outlineLevel="0" collapsed="false">
      <c r="A75" s="6" t="s">
        <v>242</v>
      </c>
      <c r="B75" s="7" t="n">
        <v>4</v>
      </c>
      <c r="C75" s="7" t="n">
        <v>7</v>
      </c>
      <c r="D75" s="7" t="n">
        <v>0</v>
      </c>
      <c r="E75" s="7" t="n">
        <v>0</v>
      </c>
      <c r="F75" s="15" t="n">
        <f aca="false">SUM(B75:E75)</f>
        <v>11</v>
      </c>
    </row>
    <row r="76" customFormat="false" ht="15" hidden="false" customHeight="false" outlineLevel="0" collapsed="false">
      <c r="A76" s="6" t="s">
        <v>243</v>
      </c>
      <c r="B76" s="7" t="n">
        <v>0</v>
      </c>
      <c r="C76" s="7" t="n">
        <v>5</v>
      </c>
      <c r="D76" s="7" t="n">
        <v>0</v>
      </c>
      <c r="E76" s="7" t="n">
        <v>0</v>
      </c>
      <c r="F76" s="15" t="n">
        <f aca="false">SUM(B76:E76)</f>
        <v>5</v>
      </c>
    </row>
    <row r="77" customFormat="false" ht="15" hidden="false" customHeight="false" outlineLevel="0" collapsed="false">
      <c r="A77" s="6" t="s">
        <v>244</v>
      </c>
      <c r="B77" s="7" t="n">
        <v>2</v>
      </c>
      <c r="C77" s="7" t="n">
        <v>4</v>
      </c>
      <c r="D77" s="7" t="n">
        <v>0</v>
      </c>
      <c r="E77" s="7" t="n">
        <v>0</v>
      </c>
      <c r="F77" s="15" t="n">
        <f aca="false">SUM(B77:E77)</f>
        <v>6</v>
      </c>
    </row>
    <row r="78" customFormat="false" ht="15" hidden="false" customHeight="false" outlineLevel="0" collapsed="false">
      <c r="A78" s="6" t="s">
        <v>245</v>
      </c>
      <c r="B78" s="7" t="n">
        <v>6</v>
      </c>
      <c r="C78" s="7" t="n">
        <v>43</v>
      </c>
      <c r="D78" s="7" t="n">
        <v>0</v>
      </c>
      <c r="E78" s="7" t="n">
        <v>0</v>
      </c>
      <c r="F78" s="15" t="n">
        <f aca="false">SUM(B78:E78)</f>
        <v>49</v>
      </c>
    </row>
    <row r="79" customFormat="false" ht="15" hidden="false" customHeight="false" outlineLevel="0" collapsed="false">
      <c r="A79" s="6" t="s">
        <v>246</v>
      </c>
      <c r="B79" s="7" t="n">
        <v>0</v>
      </c>
      <c r="C79" s="7" t="n">
        <v>0</v>
      </c>
      <c r="D79" s="7" t="n">
        <v>0</v>
      </c>
      <c r="E79" s="7" t="n">
        <v>0</v>
      </c>
      <c r="F79" s="15" t="n">
        <f aca="false">SUM(B79:E79)</f>
        <v>0</v>
      </c>
    </row>
    <row r="80" customFormat="false" ht="15" hidden="false" customHeight="false" outlineLevel="0" collapsed="false">
      <c r="A80" s="6" t="s">
        <v>247</v>
      </c>
      <c r="B80" s="7" t="n">
        <v>0</v>
      </c>
      <c r="C80" s="7" t="n">
        <v>1</v>
      </c>
      <c r="D80" s="7" t="n">
        <v>0</v>
      </c>
      <c r="E80" s="7" t="n">
        <v>0</v>
      </c>
      <c r="F80" s="15" t="n">
        <f aca="false">SUM(B80:E80)</f>
        <v>1</v>
      </c>
    </row>
    <row r="81" customFormat="false" ht="15" hidden="false" customHeight="false" outlineLevel="0" collapsed="false">
      <c r="A81" s="6" t="s">
        <v>248</v>
      </c>
      <c r="B81" s="7" t="n">
        <v>7</v>
      </c>
      <c r="C81" s="7" t="n">
        <v>57</v>
      </c>
      <c r="D81" s="7" t="n">
        <v>0</v>
      </c>
      <c r="E81" s="7" t="n">
        <v>0</v>
      </c>
      <c r="F81" s="15" t="n">
        <f aca="false">SUM(B81:E81)</f>
        <v>64</v>
      </c>
    </row>
    <row r="82" customFormat="false" ht="15" hidden="false" customHeight="false" outlineLevel="0" collapsed="false">
      <c r="A82" s="6" t="s">
        <v>249</v>
      </c>
      <c r="B82" s="7" t="n">
        <v>2</v>
      </c>
      <c r="C82" s="7" t="n">
        <v>6</v>
      </c>
      <c r="D82" s="7" t="n">
        <v>0</v>
      </c>
      <c r="E82" s="7" t="n">
        <v>0</v>
      </c>
      <c r="F82" s="15" t="n">
        <f aca="false">SUM(B82:E82)</f>
        <v>8</v>
      </c>
    </row>
    <row r="83" customFormat="false" ht="15" hidden="false" customHeight="false" outlineLevel="0" collapsed="false">
      <c r="A83" s="6" t="s">
        <v>250</v>
      </c>
      <c r="B83" s="7" t="n">
        <v>1</v>
      </c>
      <c r="C83" s="7" t="n">
        <v>2</v>
      </c>
      <c r="D83" s="7" t="n">
        <v>0</v>
      </c>
      <c r="E83" s="7" t="n">
        <v>0</v>
      </c>
      <c r="F83" s="15" t="n">
        <f aca="false">SUM(B83:E83)</f>
        <v>3</v>
      </c>
    </row>
    <row r="84" customFormat="false" ht="15" hidden="false" customHeight="false" outlineLevel="0" collapsed="false">
      <c r="A84" s="6" t="s">
        <v>251</v>
      </c>
      <c r="B84" s="7" t="n">
        <v>2</v>
      </c>
      <c r="C84" s="7" t="n">
        <v>5</v>
      </c>
      <c r="D84" s="7" t="n">
        <v>0</v>
      </c>
      <c r="E84" s="7" t="n">
        <v>0</v>
      </c>
      <c r="F84" s="15" t="n">
        <f aca="false">SUM(B84:E84)</f>
        <v>7</v>
      </c>
    </row>
    <row r="85" customFormat="false" ht="15" hidden="false" customHeight="false" outlineLevel="0" collapsed="false">
      <c r="A85" s="6" t="s">
        <v>252</v>
      </c>
      <c r="B85" s="7" t="n">
        <v>2</v>
      </c>
      <c r="C85" s="7" t="n">
        <v>19</v>
      </c>
      <c r="D85" s="7" t="n">
        <v>0</v>
      </c>
      <c r="E85" s="7" t="n">
        <v>1</v>
      </c>
      <c r="F85" s="15" t="n">
        <f aca="false">SUM(B85:E85)</f>
        <v>22</v>
      </c>
    </row>
    <row r="86" customFormat="false" ht="15" hidden="false" customHeight="false" outlineLevel="0" collapsed="false">
      <c r="A86" s="6" t="s">
        <v>253</v>
      </c>
      <c r="B86" s="7" t="n">
        <v>1</v>
      </c>
      <c r="C86" s="7" t="n">
        <v>2</v>
      </c>
      <c r="D86" s="7" t="n">
        <v>0</v>
      </c>
      <c r="E86" s="7" t="n">
        <v>0</v>
      </c>
      <c r="F86" s="15" t="n">
        <f aca="false">SUM(B86:E86)</f>
        <v>3</v>
      </c>
    </row>
    <row r="87" customFormat="false" ht="15" hidden="false" customHeight="false" outlineLevel="0" collapsed="false">
      <c r="A87" s="6" t="s">
        <v>254</v>
      </c>
      <c r="B87" s="7" t="n">
        <v>0</v>
      </c>
      <c r="C87" s="7" t="n">
        <v>0</v>
      </c>
      <c r="D87" s="7" t="n">
        <v>0</v>
      </c>
      <c r="E87" s="7" t="n">
        <v>0</v>
      </c>
      <c r="F87" s="15" t="n">
        <f aca="false">SUM(B87:E87)</f>
        <v>0</v>
      </c>
    </row>
    <row r="88" customFormat="false" ht="15" hidden="false" customHeight="false" outlineLevel="0" collapsed="false">
      <c r="A88" s="6" t="s">
        <v>255</v>
      </c>
      <c r="B88" s="7" t="n">
        <v>3</v>
      </c>
      <c r="C88" s="7" t="n">
        <v>5</v>
      </c>
      <c r="D88" s="7" t="n">
        <v>0</v>
      </c>
      <c r="E88" s="7" t="n">
        <v>0</v>
      </c>
      <c r="F88" s="15" t="n">
        <f aca="false">SUM(B88:E88)</f>
        <v>8</v>
      </c>
    </row>
    <row r="89" customFormat="false" ht="15" hidden="false" customHeight="false" outlineLevel="0" collapsed="false">
      <c r="A89" s="6" t="s">
        <v>256</v>
      </c>
      <c r="B89" s="7" t="n">
        <v>4</v>
      </c>
      <c r="C89" s="7" t="n">
        <v>6</v>
      </c>
      <c r="D89" s="7" t="n">
        <v>0</v>
      </c>
      <c r="E89" s="7" t="n">
        <v>0</v>
      </c>
      <c r="F89" s="15" t="n">
        <f aca="false">SUM(B89:E89)</f>
        <v>10</v>
      </c>
    </row>
    <row r="90" customFormat="false" ht="15" hidden="false" customHeight="false" outlineLevel="0" collapsed="false">
      <c r="A90" s="6" t="s">
        <v>257</v>
      </c>
      <c r="B90" s="7" t="n">
        <v>3</v>
      </c>
      <c r="C90" s="7" t="n">
        <v>2</v>
      </c>
      <c r="D90" s="7" t="n">
        <v>0</v>
      </c>
      <c r="E90" s="7" t="n">
        <v>0</v>
      </c>
      <c r="F90" s="15" t="n">
        <f aca="false">SUM(B90:E90)</f>
        <v>5</v>
      </c>
    </row>
    <row r="91" customFormat="false" ht="15" hidden="false" customHeight="false" outlineLevel="0" collapsed="false">
      <c r="A91" s="6" t="s">
        <v>258</v>
      </c>
      <c r="B91" s="7" t="n">
        <v>3</v>
      </c>
      <c r="C91" s="7" t="n">
        <v>5</v>
      </c>
      <c r="D91" s="7" t="n">
        <v>0</v>
      </c>
      <c r="E91" s="7" t="n">
        <v>0</v>
      </c>
      <c r="F91" s="15" t="n">
        <f aca="false">SUM(B91:E91)</f>
        <v>8</v>
      </c>
    </row>
    <row r="92" customFormat="false" ht="15" hidden="false" customHeight="false" outlineLevel="0" collapsed="false">
      <c r="A92" s="6" t="s">
        <v>259</v>
      </c>
      <c r="B92" s="7" t="n">
        <v>2</v>
      </c>
      <c r="C92" s="7" t="n">
        <v>7</v>
      </c>
      <c r="D92" s="7" t="n">
        <v>1</v>
      </c>
      <c r="E92" s="7" t="n">
        <v>1</v>
      </c>
      <c r="F92" s="15" t="n">
        <f aca="false">SUM(B92:E92)</f>
        <v>11</v>
      </c>
    </row>
    <row r="93" customFormat="false" ht="15" hidden="false" customHeight="false" outlineLevel="0" collapsed="false">
      <c r="A93" s="6" t="s">
        <v>260</v>
      </c>
      <c r="B93" s="7" t="n">
        <v>0</v>
      </c>
      <c r="C93" s="7" t="n">
        <v>0</v>
      </c>
      <c r="D93" s="7" t="n">
        <v>0</v>
      </c>
      <c r="E93" s="7" t="n">
        <v>0</v>
      </c>
      <c r="F93" s="15" t="n">
        <f aca="false">SUM(B93:E93)</f>
        <v>0</v>
      </c>
    </row>
    <row r="94" customFormat="false" ht="15" hidden="false" customHeight="false" outlineLevel="0" collapsed="false">
      <c r="A94" s="6" t="s">
        <v>261</v>
      </c>
      <c r="B94" s="7" t="n">
        <v>1</v>
      </c>
      <c r="C94" s="7" t="n">
        <v>6</v>
      </c>
      <c r="D94" s="7" t="n">
        <v>0</v>
      </c>
      <c r="E94" s="7" t="n">
        <v>0</v>
      </c>
      <c r="F94" s="15" t="n">
        <f aca="false">SUM(B94:E94)</f>
        <v>7</v>
      </c>
    </row>
    <row r="95" customFormat="false" ht="15" hidden="false" customHeight="false" outlineLevel="0" collapsed="false">
      <c r="A95" s="6" t="s">
        <v>262</v>
      </c>
      <c r="B95" s="7" t="n">
        <v>1</v>
      </c>
      <c r="C95" s="7" t="n">
        <v>0</v>
      </c>
      <c r="D95" s="7" t="n">
        <v>0</v>
      </c>
      <c r="E95" s="7" t="n">
        <v>0</v>
      </c>
      <c r="F95" s="15" t="n">
        <f aca="false">SUM(B95:E95)</f>
        <v>1</v>
      </c>
    </row>
    <row r="96" customFormat="false" ht="15" hidden="false" customHeight="false" outlineLevel="0" collapsed="false">
      <c r="A96" s="6" t="s">
        <v>263</v>
      </c>
      <c r="B96" s="7" t="n">
        <v>2</v>
      </c>
      <c r="C96" s="7" t="n">
        <v>36</v>
      </c>
      <c r="D96" s="7" t="n">
        <v>1</v>
      </c>
      <c r="E96" s="7" t="n">
        <v>9</v>
      </c>
      <c r="F96" s="15" t="n">
        <f aca="false">SUM(B96:E96)</f>
        <v>48</v>
      </c>
    </row>
    <row r="97" customFormat="false" ht="15" hidden="false" customHeight="false" outlineLevel="0" collapsed="false">
      <c r="A97" s="6" t="s">
        <v>264</v>
      </c>
      <c r="B97" s="7" t="n">
        <v>4</v>
      </c>
      <c r="C97" s="7" t="n">
        <v>14</v>
      </c>
      <c r="D97" s="7" t="n">
        <v>0</v>
      </c>
      <c r="E97" s="7" t="n">
        <v>0</v>
      </c>
      <c r="F97" s="15" t="n">
        <f aca="false">SUM(B97:E97)</f>
        <v>18</v>
      </c>
    </row>
    <row r="98" customFormat="false" ht="15" hidden="false" customHeight="false" outlineLevel="0" collapsed="false">
      <c r="A98" s="6" t="s">
        <v>265</v>
      </c>
      <c r="B98" s="7" t="n">
        <v>2</v>
      </c>
      <c r="C98" s="7" t="n">
        <v>8</v>
      </c>
      <c r="D98" s="7" t="n">
        <v>0</v>
      </c>
      <c r="E98" s="7" t="n">
        <v>0</v>
      </c>
      <c r="F98" s="15" t="n">
        <f aca="false">SUM(B98:E98)</f>
        <v>10</v>
      </c>
    </row>
    <row r="99" customFormat="false" ht="15" hidden="false" customHeight="false" outlineLevel="0" collapsed="false">
      <c r="A99" s="6" t="s">
        <v>266</v>
      </c>
      <c r="B99" s="7" t="n">
        <v>3</v>
      </c>
      <c r="C99" s="7" t="n">
        <v>12</v>
      </c>
      <c r="D99" s="7" t="n">
        <v>0</v>
      </c>
      <c r="E99" s="7" t="n">
        <v>0</v>
      </c>
      <c r="F99" s="15" t="n">
        <f aca="false">SUM(B99:E99)</f>
        <v>15</v>
      </c>
    </row>
    <row r="100" customFormat="false" ht="15" hidden="false" customHeight="false" outlineLevel="0" collapsed="false">
      <c r="A100" s="6" t="s">
        <v>267</v>
      </c>
      <c r="B100" s="7" t="n">
        <v>2</v>
      </c>
      <c r="C100" s="7" t="n">
        <v>6</v>
      </c>
      <c r="D100" s="7" t="n">
        <v>0</v>
      </c>
      <c r="E100" s="7" t="n">
        <v>0</v>
      </c>
      <c r="F100" s="15" t="n">
        <f aca="false">SUM(B100:E100)</f>
        <v>8</v>
      </c>
    </row>
    <row r="101" customFormat="false" ht="15" hidden="false" customHeight="false" outlineLevel="0" collapsed="false">
      <c r="A101" s="6" t="s">
        <v>268</v>
      </c>
      <c r="B101" s="7" t="n">
        <v>0</v>
      </c>
      <c r="C101" s="7" t="n">
        <v>0</v>
      </c>
      <c r="D101" s="7" t="n">
        <v>0</v>
      </c>
      <c r="E101" s="7" t="n">
        <v>0</v>
      </c>
      <c r="F101" s="15" t="n">
        <f aca="false">SUM(B101:E101)</f>
        <v>0</v>
      </c>
    </row>
    <row r="102" customFormat="false" ht="15" hidden="false" customHeight="false" outlineLevel="0" collapsed="false">
      <c r="A102" s="6" t="s">
        <v>269</v>
      </c>
      <c r="B102" s="7" t="n">
        <v>3</v>
      </c>
      <c r="C102" s="7" t="n">
        <v>6</v>
      </c>
      <c r="D102" s="7" t="n">
        <v>0</v>
      </c>
      <c r="E102" s="7" t="n">
        <v>0</v>
      </c>
      <c r="F102" s="15" t="n">
        <f aca="false">SUM(B102:E102)</f>
        <v>9</v>
      </c>
    </row>
    <row r="103" customFormat="false" ht="15" hidden="false" customHeight="false" outlineLevel="0" collapsed="false">
      <c r="A103" s="6" t="s">
        <v>270</v>
      </c>
      <c r="B103" s="7" t="n">
        <v>2</v>
      </c>
      <c r="C103" s="7" t="n">
        <v>4</v>
      </c>
      <c r="D103" s="7" t="n">
        <v>0</v>
      </c>
      <c r="E103" s="7" t="n">
        <v>0</v>
      </c>
      <c r="F103" s="15" t="n">
        <f aca="false">SUM(B103:E103)</f>
        <v>6</v>
      </c>
    </row>
    <row r="104" customFormat="false" ht="15" hidden="false" customHeight="false" outlineLevel="0" collapsed="false">
      <c r="A104" s="6" t="s">
        <v>271</v>
      </c>
      <c r="B104" s="7" t="n">
        <v>1</v>
      </c>
      <c r="C104" s="7" t="n">
        <v>0</v>
      </c>
      <c r="D104" s="7" t="n">
        <v>0</v>
      </c>
      <c r="E104" s="7" t="n">
        <v>0</v>
      </c>
      <c r="F104" s="15" t="n">
        <f aca="false">SUM(B104:E104)</f>
        <v>1</v>
      </c>
    </row>
    <row r="105" customFormat="false" ht="15" hidden="false" customHeight="false" outlineLevel="0" collapsed="false">
      <c r="A105" s="6" t="s">
        <v>272</v>
      </c>
      <c r="B105" s="7" t="n">
        <v>2</v>
      </c>
      <c r="C105" s="7" t="n">
        <v>12</v>
      </c>
      <c r="D105" s="7" t="n">
        <v>0</v>
      </c>
      <c r="E105" s="7" t="n">
        <v>0</v>
      </c>
      <c r="F105" s="15" t="n">
        <f aca="false">SUM(B105:E105)</f>
        <v>14</v>
      </c>
    </row>
    <row r="106" customFormat="false" ht="15" hidden="false" customHeight="false" outlineLevel="0" collapsed="false">
      <c r="A106" s="6" t="s">
        <v>273</v>
      </c>
      <c r="B106" s="7" t="n">
        <v>0</v>
      </c>
      <c r="C106" s="7" t="n">
        <v>8</v>
      </c>
      <c r="D106" s="7" t="n">
        <v>0</v>
      </c>
      <c r="E106" s="7" t="n">
        <v>0</v>
      </c>
      <c r="F106" s="15" t="n">
        <f aca="false">SUM(B106:E106)</f>
        <v>8</v>
      </c>
    </row>
    <row r="107" customFormat="false" ht="15" hidden="false" customHeight="false" outlineLevel="0" collapsed="false">
      <c r="A107" s="6" t="s">
        <v>274</v>
      </c>
      <c r="B107" s="7" t="n">
        <v>2</v>
      </c>
      <c r="C107" s="7" t="n">
        <v>6</v>
      </c>
      <c r="D107" s="7" t="n">
        <v>0</v>
      </c>
      <c r="E107" s="7" t="n">
        <v>0</v>
      </c>
      <c r="F107" s="15" t="n">
        <f aca="false">SUM(B107:E107)</f>
        <v>8</v>
      </c>
    </row>
    <row r="108" customFormat="false" ht="15" hidden="false" customHeight="false" outlineLevel="0" collapsed="false">
      <c r="A108" s="6" t="s">
        <v>275</v>
      </c>
      <c r="B108" s="7" t="n">
        <v>1</v>
      </c>
      <c r="C108" s="7" t="n">
        <v>24</v>
      </c>
      <c r="D108" s="7" t="n">
        <v>0</v>
      </c>
      <c r="E108" s="7" t="n">
        <v>0</v>
      </c>
      <c r="F108" s="15" t="n">
        <f aca="false">SUM(B108:E108)</f>
        <v>25</v>
      </c>
    </row>
    <row r="109" customFormat="false" ht="15" hidden="false" customHeight="false" outlineLevel="0" collapsed="false">
      <c r="A109" s="6" t="s">
        <v>276</v>
      </c>
      <c r="B109" s="7" t="n">
        <v>1</v>
      </c>
      <c r="C109" s="7" t="n">
        <v>13</v>
      </c>
      <c r="D109" s="7" t="n">
        <v>0</v>
      </c>
      <c r="E109" s="7" t="n">
        <v>0</v>
      </c>
      <c r="F109" s="15" t="n">
        <f aca="false">SUM(B109:E109)</f>
        <v>14</v>
      </c>
    </row>
    <row r="110" customFormat="false" ht="15" hidden="false" customHeight="false" outlineLevel="0" collapsed="false">
      <c r="A110" s="6" t="s">
        <v>277</v>
      </c>
      <c r="B110" s="7" t="n">
        <v>12</v>
      </c>
      <c r="C110" s="7" t="n">
        <v>136</v>
      </c>
      <c r="D110" s="7" t="n">
        <v>10</v>
      </c>
      <c r="E110" s="7" t="n">
        <v>27</v>
      </c>
      <c r="F110" s="15" t="n">
        <f aca="false">SUM(B110:E110)</f>
        <v>185</v>
      </c>
    </row>
    <row r="111" customFormat="false" ht="15" hidden="false" customHeight="false" outlineLevel="0" collapsed="false">
      <c r="A111" s="6" t="s">
        <v>278</v>
      </c>
      <c r="B111" s="7" t="n">
        <v>2</v>
      </c>
      <c r="C111" s="7" t="n">
        <v>4</v>
      </c>
      <c r="D111" s="7" t="n">
        <v>0</v>
      </c>
      <c r="E111" s="7" t="n">
        <v>0</v>
      </c>
      <c r="F111" s="15" t="n">
        <f aca="false">SUM(B111:E111)</f>
        <v>6</v>
      </c>
    </row>
    <row r="112" customFormat="false" ht="15" hidden="false" customHeight="false" outlineLevel="0" collapsed="false">
      <c r="A112" s="6" t="s">
        <v>279</v>
      </c>
      <c r="B112" s="7" t="n">
        <v>2</v>
      </c>
      <c r="C112" s="7" t="n">
        <v>2</v>
      </c>
      <c r="D112" s="7" t="n">
        <v>0</v>
      </c>
      <c r="E112" s="7" t="n">
        <v>0</v>
      </c>
      <c r="F112" s="15" t="n">
        <f aca="false">SUM(B112:E112)</f>
        <v>4</v>
      </c>
    </row>
    <row r="113" customFormat="false" ht="15" hidden="false" customHeight="false" outlineLevel="0" collapsed="false">
      <c r="A113" s="6" t="s">
        <v>280</v>
      </c>
      <c r="B113" s="7" t="n">
        <v>2</v>
      </c>
      <c r="C113" s="7" t="n">
        <v>3</v>
      </c>
      <c r="D113" s="7" t="n">
        <v>0</v>
      </c>
      <c r="E113" s="7" t="n">
        <v>0</v>
      </c>
      <c r="F113" s="15" t="n">
        <f aca="false">SUM(B113:E113)</f>
        <v>5</v>
      </c>
    </row>
    <row r="114" customFormat="false" ht="15" hidden="false" customHeight="false" outlineLevel="0" collapsed="false">
      <c r="A114" s="6" t="s">
        <v>281</v>
      </c>
      <c r="B114" s="7" t="n">
        <v>4</v>
      </c>
      <c r="C114" s="7" t="n">
        <v>62</v>
      </c>
      <c r="D114" s="7" t="n">
        <v>1</v>
      </c>
      <c r="E114" s="7" t="n">
        <v>5</v>
      </c>
      <c r="F114" s="15" t="n">
        <f aca="false">SUM(B114:E114)</f>
        <v>72</v>
      </c>
    </row>
    <row r="115" customFormat="false" ht="15" hidden="false" customHeight="false" outlineLevel="0" collapsed="false">
      <c r="A115" s="6" t="s">
        <v>282</v>
      </c>
      <c r="B115" s="7" t="n">
        <v>6</v>
      </c>
      <c r="C115" s="7" t="n">
        <v>39</v>
      </c>
      <c r="D115" s="7" t="n">
        <v>0</v>
      </c>
      <c r="E115" s="7" t="n">
        <v>0</v>
      </c>
      <c r="F115" s="15" t="n">
        <f aca="false">SUM(B115:E115)</f>
        <v>45</v>
      </c>
    </row>
    <row r="116" customFormat="false" ht="15" hidden="false" customHeight="false" outlineLevel="0" collapsed="false">
      <c r="A116" s="6" t="s">
        <v>283</v>
      </c>
      <c r="B116" s="7" t="n">
        <v>3</v>
      </c>
      <c r="C116" s="7" t="n">
        <v>7</v>
      </c>
      <c r="D116" s="7" t="n">
        <v>0</v>
      </c>
      <c r="E116" s="7" t="n">
        <v>0</v>
      </c>
      <c r="F116" s="15" t="n">
        <f aca="false">SUM(B116:E116)</f>
        <v>10</v>
      </c>
    </row>
    <row r="117" customFormat="false" ht="15" hidden="false" customHeight="false" outlineLevel="0" collapsed="false">
      <c r="A117" s="6" t="s">
        <v>284</v>
      </c>
      <c r="B117" s="7" t="n">
        <v>3</v>
      </c>
      <c r="C117" s="7" t="n">
        <v>51</v>
      </c>
      <c r="D117" s="7" t="n">
        <v>0</v>
      </c>
      <c r="E117" s="7" t="n">
        <v>0</v>
      </c>
      <c r="F117" s="15" t="n">
        <f aca="false">SUM(B117:E117)</f>
        <v>54</v>
      </c>
    </row>
    <row r="118" customFormat="false" ht="15" hidden="false" customHeight="false" outlineLevel="0" collapsed="false">
      <c r="A118" s="6" t="s">
        <v>285</v>
      </c>
      <c r="B118" s="7" t="n">
        <v>3</v>
      </c>
      <c r="C118" s="7" t="n">
        <v>8</v>
      </c>
      <c r="D118" s="7" t="n">
        <v>0</v>
      </c>
      <c r="E118" s="7" t="n">
        <v>0</v>
      </c>
      <c r="F118" s="15" t="n">
        <f aca="false">SUM(B118:E118)</f>
        <v>11</v>
      </c>
    </row>
    <row r="119" customFormat="false" ht="15" hidden="false" customHeight="false" outlineLevel="0" collapsed="false">
      <c r="A119" s="6" t="s">
        <v>286</v>
      </c>
      <c r="B119" s="7" t="n">
        <v>0</v>
      </c>
      <c r="C119" s="7" t="n">
        <v>1</v>
      </c>
      <c r="D119" s="7" t="n">
        <v>0</v>
      </c>
      <c r="E119" s="7" t="n">
        <v>0</v>
      </c>
      <c r="F119" s="15" t="n">
        <f aca="false">SUM(B119:E119)</f>
        <v>1</v>
      </c>
    </row>
    <row r="120" customFormat="false" ht="15" hidden="false" customHeight="false" outlineLevel="0" collapsed="false">
      <c r="A120" s="6" t="s">
        <v>287</v>
      </c>
      <c r="B120" s="7" t="n">
        <v>1</v>
      </c>
      <c r="C120" s="7" t="n">
        <v>2</v>
      </c>
      <c r="D120" s="7" t="n">
        <v>0</v>
      </c>
      <c r="E120" s="7" t="n">
        <v>1</v>
      </c>
      <c r="F120" s="15" t="n">
        <f aca="false">SUM(B120:E120)</f>
        <v>4</v>
      </c>
    </row>
    <row r="121" customFormat="false" ht="15" hidden="false" customHeight="false" outlineLevel="0" collapsed="false">
      <c r="A121" s="6" t="s">
        <v>288</v>
      </c>
      <c r="B121" s="7" t="n">
        <v>6</v>
      </c>
      <c r="C121" s="7" t="n">
        <v>30</v>
      </c>
      <c r="D121" s="7" t="n">
        <v>4</v>
      </c>
      <c r="E121" s="7" t="n">
        <v>3</v>
      </c>
      <c r="F121" s="15" t="n">
        <f aca="false">SUM(B121:E121)</f>
        <v>43</v>
      </c>
    </row>
    <row r="122" customFormat="false" ht="15" hidden="false" customHeight="false" outlineLevel="0" collapsed="false">
      <c r="A122" s="6" t="s">
        <v>289</v>
      </c>
      <c r="B122" s="7" t="n">
        <v>4</v>
      </c>
      <c r="C122" s="7" t="n">
        <v>33</v>
      </c>
      <c r="D122" s="7" t="n">
        <v>0</v>
      </c>
      <c r="E122" s="7" t="n">
        <v>0</v>
      </c>
      <c r="F122" s="15" t="n">
        <f aca="false">SUM(B122:E122)</f>
        <v>37</v>
      </c>
    </row>
    <row r="123" customFormat="false" ht="15" hidden="false" customHeight="false" outlineLevel="0" collapsed="false">
      <c r="A123" s="6" t="s">
        <v>290</v>
      </c>
      <c r="B123" s="7" t="n">
        <v>2</v>
      </c>
      <c r="C123" s="7" t="n">
        <v>13</v>
      </c>
      <c r="D123" s="7" t="n">
        <v>0</v>
      </c>
      <c r="E123" s="7" t="n">
        <v>0</v>
      </c>
      <c r="F123" s="15" t="n">
        <f aca="false">SUM(B123:E123)</f>
        <v>15</v>
      </c>
    </row>
    <row r="124" customFormat="false" ht="15" hidden="false" customHeight="false" outlineLevel="0" collapsed="false">
      <c r="A124" s="6" t="s">
        <v>291</v>
      </c>
      <c r="B124" s="7" t="n">
        <v>0</v>
      </c>
      <c r="C124" s="7" t="n">
        <v>4</v>
      </c>
      <c r="D124" s="7" t="n">
        <v>0</v>
      </c>
      <c r="E124" s="7" t="n">
        <v>0</v>
      </c>
      <c r="F124" s="15" t="n">
        <f aca="false">SUM(B124:E124)</f>
        <v>4</v>
      </c>
    </row>
    <row r="125" customFormat="false" ht="15" hidden="false" customHeight="false" outlineLevel="0" collapsed="false">
      <c r="A125" s="6" t="s">
        <v>292</v>
      </c>
      <c r="B125" s="7" t="n">
        <v>3</v>
      </c>
      <c r="C125" s="7" t="n">
        <v>3</v>
      </c>
      <c r="D125" s="7" t="n">
        <v>0</v>
      </c>
      <c r="E125" s="7" t="n">
        <v>0</v>
      </c>
      <c r="F125" s="15" t="n">
        <f aca="false">SUM(B125:E125)</f>
        <v>6</v>
      </c>
    </row>
    <row r="126" customFormat="false" ht="15" hidden="false" customHeight="false" outlineLevel="0" collapsed="false">
      <c r="A126" s="6" t="s">
        <v>293</v>
      </c>
      <c r="B126" s="7" t="n">
        <v>0</v>
      </c>
      <c r="C126" s="7" t="n">
        <v>0</v>
      </c>
      <c r="D126" s="7" t="n">
        <v>0</v>
      </c>
      <c r="E126" s="7" t="n">
        <v>0</v>
      </c>
      <c r="F126" s="15" t="n">
        <f aca="false">SUM(B126:E126)</f>
        <v>0</v>
      </c>
    </row>
    <row r="127" customFormat="false" ht="15" hidden="false" customHeight="false" outlineLevel="0" collapsed="false">
      <c r="A127" s="6" t="s">
        <v>294</v>
      </c>
      <c r="B127" s="7" t="n">
        <v>3</v>
      </c>
      <c r="C127" s="7" t="n">
        <v>6</v>
      </c>
      <c r="D127" s="7" t="n">
        <v>0</v>
      </c>
      <c r="E127" s="7" t="n">
        <v>0</v>
      </c>
      <c r="F127" s="15" t="n">
        <f aca="false">SUM(B127:E127)</f>
        <v>9</v>
      </c>
    </row>
    <row r="128" customFormat="false" ht="15" hidden="false" customHeight="false" outlineLevel="0" collapsed="false">
      <c r="A128" s="6" t="s">
        <v>295</v>
      </c>
      <c r="B128" s="7" t="n">
        <v>2</v>
      </c>
      <c r="C128" s="7" t="n">
        <v>23</v>
      </c>
      <c r="D128" s="7" t="n">
        <v>0</v>
      </c>
      <c r="E128" s="7" t="n">
        <v>0</v>
      </c>
      <c r="F128" s="15" t="n">
        <f aca="false">SUM(B128:E128)</f>
        <v>25</v>
      </c>
    </row>
    <row r="129" customFormat="false" ht="15" hidden="false" customHeight="false" outlineLevel="0" collapsed="false">
      <c r="A129" s="6" t="s">
        <v>296</v>
      </c>
      <c r="B129" s="7" t="n">
        <v>5</v>
      </c>
      <c r="C129" s="7" t="n">
        <v>68</v>
      </c>
      <c r="D129" s="7" t="n">
        <v>2</v>
      </c>
      <c r="E129" s="7" t="n">
        <v>3</v>
      </c>
      <c r="F129" s="15" t="n">
        <f aca="false">SUM(B129:E129)</f>
        <v>78</v>
      </c>
    </row>
    <row r="130" customFormat="false" ht="15" hidden="false" customHeight="false" outlineLevel="0" collapsed="false">
      <c r="A130" s="6" t="s">
        <v>297</v>
      </c>
      <c r="B130" s="7" t="n">
        <v>2</v>
      </c>
      <c r="C130" s="7" t="n">
        <v>4</v>
      </c>
      <c r="D130" s="7" t="n">
        <v>0</v>
      </c>
      <c r="E130" s="7" t="n">
        <v>0</v>
      </c>
      <c r="F130" s="15" t="n">
        <f aca="false">SUM(B130:E130)</f>
        <v>6</v>
      </c>
    </row>
    <row r="131" customFormat="false" ht="15" hidden="false" customHeight="false" outlineLevel="0" collapsed="false">
      <c r="A131" s="6" t="s">
        <v>298</v>
      </c>
      <c r="B131" s="7" t="n">
        <v>0</v>
      </c>
      <c r="C131" s="7" t="n">
        <v>8</v>
      </c>
      <c r="D131" s="7" t="n">
        <v>0</v>
      </c>
      <c r="E131" s="7" t="n">
        <v>0</v>
      </c>
      <c r="F131" s="15" t="n">
        <f aca="false">SUM(B131:E131)</f>
        <v>8</v>
      </c>
    </row>
    <row r="132" customFormat="false" ht="15" hidden="false" customHeight="false" outlineLevel="0" collapsed="false">
      <c r="A132" s="6" t="s">
        <v>299</v>
      </c>
      <c r="B132" s="7" t="n">
        <v>2</v>
      </c>
      <c r="C132" s="7" t="n">
        <v>23</v>
      </c>
      <c r="D132" s="7" t="n">
        <v>0</v>
      </c>
      <c r="E132" s="7" t="n">
        <v>0</v>
      </c>
      <c r="F132" s="15" t="n">
        <f aca="false">SUM(B132:E132)</f>
        <v>25</v>
      </c>
    </row>
    <row r="133" customFormat="false" ht="15" hidden="false" customHeight="false" outlineLevel="0" collapsed="false">
      <c r="A133" s="6" t="s">
        <v>300</v>
      </c>
      <c r="B133" s="7" t="n">
        <v>5</v>
      </c>
      <c r="C133" s="7" t="n">
        <v>6</v>
      </c>
      <c r="D133" s="7" t="n">
        <v>0</v>
      </c>
      <c r="E133" s="7" t="n">
        <v>0</v>
      </c>
      <c r="F133" s="15" t="n">
        <f aca="false">SUM(B133:E133)</f>
        <v>11</v>
      </c>
    </row>
    <row r="134" customFormat="false" ht="15" hidden="false" customHeight="false" outlineLevel="0" collapsed="false">
      <c r="A134" s="6" t="s">
        <v>301</v>
      </c>
      <c r="B134" s="7" t="n">
        <v>3</v>
      </c>
      <c r="C134" s="7" t="n">
        <v>17</v>
      </c>
      <c r="D134" s="7" t="n">
        <v>2</v>
      </c>
      <c r="E134" s="7" t="n">
        <v>4</v>
      </c>
      <c r="F134" s="15" t="n">
        <f aca="false">SUM(B134:E134)</f>
        <v>26</v>
      </c>
    </row>
    <row r="135" customFormat="false" ht="15" hidden="false" customHeight="false" outlineLevel="0" collapsed="false">
      <c r="A135" s="6" t="s">
        <v>302</v>
      </c>
      <c r="B135" s="7" t="n">
        <v>1</v>
      </c>
      <c r="C135" s="7" t="n">
        <v>4</v>
      </c>
      <c r="D135" s="7" t="n">
        <v>0</v>
      </c>
      <c r="E135" s="7" t="n">
        <v>0</v>
      </c>
      <c r="F135" s="15" t="n">
        <f aca="false">SUM(B135:E135)</f>
        <v>5</v>
      </c>
    </row>
    <row r="136" customFormat="false" ht="15" hidden="false" customHeight="false" outlineLevel="0" collapsed="false">
      <c r="A136" s="6" t="s">
        <v>303</v>
      </c>
      <c r="B136" s="7" t="n">
        <v>3</v>
      </c>
      <c r="C136" s="7" t="n">
        <v>23</v>
      </c>
      <c r="D136" s="7" t="n">
        <v>0</v>
      </c>
      <c r="E136" s="7" t="n">
        <v>0</v>
      </c>
      <c r="F136" s="15" t="n">
        <f aca="false">SUM(B136:E136)</f>
        <v>26</v>
      </c>
    </row>
    <row r="137" customFormat="false" ht="15" hidden="false" customHeight="false" outlineLevel="0" collapsed="false">
      <c r="A137" s="6" t="s">
        <v>304</v>
      </c>
      <c r="B137" s="7" t="n">
        <v>0</v>
      </c>
      <c r="C137" s="7" t="n">
        <v>10</v>
      </c>
      <c r="D137" s="7" t="n">
        <v>0</v>
      </c>
      <c r="E137" s="7" t="n">
        <v>0</v>
      </c>
      <c r="F137" s="15" t="n">
        <f aca="false">SUM(B137:E137)</f>
        <v>10</v>
      </c>
    </row>
    <row r="138" customFormat="false" ht="15" hidden="false" customHeight="false" outlineLevel="0" collapsed="false">
      <c r="A138" s="6" t="s">
        <v>305</v>
      </c>
      <c r="B138" s="7" t="n">
        <v>2</v>
      </c>
      <c r="C138" s="7" t="n">
        <v>2</v>
      </c>
      <c r="D138" s="7" t="n">
        <v>0</v>
      </c>
      <c r="E138" s="7" t="n">
        <v>0</v>
      </c>
      <c r="F138" s="15" t="n">
        <f aca="false">SUM(B138:E138)</f>
        <v>4</v>
      </c>
    </row>
    <row r="139" customFormat="false" ht="15" hidden="false" customHeight="false" outlineLevel="0" collapsed="false">
      <c r="A139" s="6" t="s">
        <v>306</v>
      </c>
      <c r="B139" s="7" t="n">
        <v>5</v>
      </c>
      <c r="C139" s="7" t="n">
        <v>59</v>
      </c>
      <c r="D139" s="7" t="n">
        <v>4</v>
      </c>
      <c r="E139" s="7" t="n">
        <v>12</v>
      </c>
      <c r="F139" s="15" t="n">
        <f aca="false">SUM(B139:E139)</f>
        <v>80</v>
      </c>
    </row>
    <row r="140" customFormat="false" ht="15" hidden="false" customHeight="false" outlineLevel="0" collapsed="false">
      <c r="A140" s="6" t="s">
        <v>307</v>
      </c>
      <c r="B140" s="7" t="n">
        <v>3</v>
      </c>
      <c r="C140" s="7" t="n">
        <v>10</v>
      </c>
      <c r="D140" s="7" t="n">
        <v>0</v>
      </c>
      <c r="E140" s="7" t="n">
        <v>0</v>
      </c>
      <c r="F140" s="15" t="n">
        <f aca="false">SUM(B140:E140)</f>
        <v>13</v>
      </c>
    </row>
    <row r="141" customFormat="false" ht="15" hidden="false" customHeight="false" outlineLevel="0" collapsed="false">
      <c r="A141" s="6" t="s">
        <v>308</v>
      </c>
      <c r="B141" s="7" t="n">
        <v>4</v>
      </c>
      <c r="C141" s="7" t="n">
        <v>46</v>
      </c>
      <c r="D141" s="7" t="n">
        <v>0</v>
      </c>
      <c r="E141" s="7" t="n">
        <v>2</v>
      </c>
      <c r="F141" s="15" t="n">
        <f aca="false">SUM(B141:E141)</f>
        <v>52</v>
      </c>
    </row>
    <row r="142" customFormat="false" ht="15" hidden="false" customHeight="false" outlineLevel="0" collapsed="false">
      <c r="A142" s="6" t="s">
        <v>309</v>
      </c>
      <c r="B142" s="7" t="n">
        <v>3</v>
      </c>
      <c r="C142" s="7" t="n">
        <v>6</v>
      </c>
      <c r="D142" s="7" t="n">
        <v>0</v>
      </c>
      <c r="E142" s="7" t="n">
        <v>0</v>
      </c>
      <c r="F142" s="15" t="n">
        <f aca="false">SUM(B142:E142)</f>
        <v>9</v>
      </c>
    </row>
    <row r="143" customFormat="false" ht="15" hidden="false" customHeight="false" outlineLevel="0" collapsed="false">
      <c r="A143" s="6" t="s">
        <v>310</v>
      </c>
      <c r="B143" s="7" t="n">
        <v>2</v>
      </c>
      <c r="C143" s="7" t="n">
        <v>7</v>
      </c>
      <c r="D143" s="7" t="n">
        <v>0</v>
      </c>
      <c r="E143" s="7" t="n">
        <v>0</v>
      </c>
      <c r="F143" s="15" t="n">
        <f aca="false">SUM(B143:E143)</f>
        <v>9</v>
      </c>
    </row>
    <row r="144" customFormat="false" ht="15" hidden="false" customHeight="false" outlineLevel="0" collapsed="false">
      <c r="A144" s="6" t="s">
        <v>311</v>
      </c>
      <c r="B144" s="7" t="n">
        <v>0</v>
      </c>
      <c r="C144" s="7" t="n">
        <v>6</v>
      </c>
      <c r="D144" s="7" t="n">
        <v>0</v>
      </c>
      <c r="E144" s="7" t="n">
        <v>0</v>
      </c>
      <c r="F144" s="15" t="n">
        <f aca="false">SUM(B144:E144)</f>
        <v>6</v>
      </c>
    </row>
    <row r="145" customFormat="false" ht="15" hidden="false" customHeight="false" outlineLevel="0" collapsed="false">
      <c r="A145" s="6" t="s">
        <v>312</v>
      </c>
      <c r="B145" s="7" t="n">
        <v>0</v>
      </c>
      <c r="C145" s="7" t="n">
        <v>0</v>
      </c>
      <c r="D145" s="7" t="n">
        <v>0</v>
      </c>
      <c r="E145" s="7" t="n">
        <v>0</v>
      </c>
      <c r="F145" s="15" t="n">
        <f aca="false">SUM(B145:E145)</f>
        <v>0</v>
      </c>
    </row>
    <row r="146" customFormat="false" ht="15" hidden="false" customHeight="false" outlineLevel="0" collapsed="false">
      <c r="A146" s="6" t="s">
        <v>313</v>
      </c>
      <c r="B146" s="7" t="n">
        <v>0</v>
      </c>
      <c r="C146" s="7" t="n">
        <v>3</v>
      </c>
      <c r="D146" s="7" t="n">
        <v>0</v>
      </c>
      <c r="E146" s="7" t="n">
        <v>0</v>
      </c>
      <c r="F146" s="15" t="n">
        <f aca="false">SUM(B146:E146)</f>
        <v>3</v>
      </c>
    </row>
    <row r="147" customFormat="false" ht="15" hidden="false" customHeight="false" outlineLevel="0" collapsed="false">
      <c r="A147" s="6" t="s">
        <v>314</v>
      </c>
      <c r="B147" s="7" t="n">
        <v>1</v>
      </c>
      <c r="C147" s="7" t="n">
        <v>3</v>
      </c>
      <c r="D147" s="7" t="n">
        <v>0</v>
      </c>
      <c r="E147" s="7" t="n">
        <v>0</v>
      </c>
      <c r="F147" s="15" t="n">
        <f aca="false">SUM(B147:E147)</f>
        <v>4</v>
      </c>
    </row>
    <row r="148" customFormat="false" ht="15" hidden="false" customHeight="false" outlineLevel="0" collapsed="false">
      <c r="A148" s="6" t="s">
        <v>315</v>
      </c>
      <c r="B148" s="7" t="n">
        <v>1</v>
      </c>
      <c r="C148" s="7" t="n">
        <v>4</v>
      </c>
      <c r="D148" s="7" t="n">
        <v>0</v>
      </c>
      <c r="E148" s="7" t="n">
        <v>0</v>
      </c>
      <c r="F148" s="15" t="n">
        <f aca="false">SUM(B148:E148)</f>
        <v>5</v>
      </c>
    </row>
    <row r="149" customFormat="false" ht="15" hidden="false" customHeight="false" outlineLevel="0" collapsed="false">
      <c r="A149" s="6" t="s">
        <v>316</v>
      </c>
      <c r="B149" s="7" t="n">
        <v>2</v>
      </c>
      <c r="C149" s="7" t="n">
        <v>2</v>
      </c>
      <c r="D149" s="7" t="n">
        <v>0</v>
      </c>
      <c r="E149" s="7" t="n">
        <v>0</v>
      </c>
      <c r="F149" s="15" t="n">
        <f aca="false">SUM(B149:E149)</f>
        <v>4</v>
      </c>
    </row>
    <row r="150" customFormat="false" ht="15" hidden="false" customHeight="false" outlineLevel="0" collapsed="false">
      <c r="A150" s="6" t="s">
        <v>317</v>
      </c>
      <c r="B150" s="7" t="n">
        <v>4</v>
      </c>
      <c r="C150" s="7" t="n">
        <v>19</v>
      </c>
      <c r="D150" s="7" t="n">
        <v>2</v>
      </c>
      <c r="E150" s="7" t="n">
        <v>2</v>
      </c>
      <c r="F150" s="15" t="n">
        <f aca="false">SUM(B150:E150)</f>
        <v>27</v>
      </c>
    </row>
    <row r="151" customFormat="false" ht="15" hidden="false" customHeight="false" outlineLevel="0" collapsed="false">
      <c r="A151" s="6" t="s">
        <v>318</v>
      </c>
      <c r="B151" s="7" t="n">
        <v>5</v>
      </c>
      <c r="C151" s="7" t="n">
        <v>54</v>
      </c>
      <c r="D151" s="7" t="n">
        <v>1</v>
      </c>
      <c r="E151" s="7" t="n">
        <v>3</v>
      </c>
      <c r="F151" s="15" t="n">
        <f aca="false">SUM(B151:E151)</f>
        <v>63</v>
      </c>
    </row>
    <row r="152" customFormat="false" ht="15" hidden="false" customHeight="false" outlineLevel="0" collapsed="false">
      <c r="A152" s="6" t="s">
        <v>319</v>
      </c>
      <c r="B152" s="7" t="n">
        <v>0</v>
      </c>
      <c r="C152" s="7" t="n">
        <v>3</v>
      </c>
      <c r="D152" s="7" t="n">
        <v>0</v>
      </c>
      <c r="E152" s="7" t="n">
        <v>1</v>
      </c>
      <c r="F152" s="15" t="n">
        <f aca="false">SUM(B152:E152)</f>
        <v>4</v>
      </c>
    </row>
    <row r="153" customFormat="false" ht="15" hidden="false" customHeight="false" outlineLevel="0" collapsed="false">
      <c r="A153" s="6" t="s">
        <v>320</v>
      </c>
      <c r="B153" s="7" t="n">
        <v>0</v>
      </c>
      <c r="C153" s="7" t="n">
        <v>0</v>
      </c>
      <c r="D153" s="7" t="n">
        <v>0</v>
      </c>
      <c r="E153" s="7" t="n">
        <v>0</v>
      </c>
      <c r="F153" s="15" t="n">
        <f aca="false">SUM(B153:E153)</f>
        <v>0</v>
      </c>
    </row>
    <row r="154" customFormat="false" ht="15" hidden="false" customHeight="false" outlineLevel="0" collapsed="false">
      <c r="A154" s="6" t="s">
        <v>321</v>
      </c>
      <c r="B154" s="7" t="n">
        <v>2</v>
      </c>
      <c r="C154" s="7" t="n">
        <v>19</v>
      </c>
      <c r="D154" s="7" t="n">
        <v>2</v>
      </c>
      <c r="E154" s="7" t="n">
        <v>2</v>
      </c>
      <c r="F154" s="15" t="n">
        <f aca="false">SUM(B154:E154)</f>
        <v>25</v>
      </c>
    </row>
    <row r="155" customFormat="false" ht="15" hidden="false" customHeight="false" outlineLevel="0" collapsed="false">
      <c r="A155" s="6" t="s">
        <v>322</v>
      </c>
      <c r="B155" s="7" t="n">
        <v>0</v>
      </c>
      <c r="C155" s="7" t="n">
        <v>0</v>
      </c>
      <c r="D155" s="7" t="n">
        <v>0</v>
      </c>
      <c r="E155" s="7" t="n">
        <v>0</v>
      </c>
      <c r="F155" s="15" t="n">
        <f aca="false">SUM(B155:E155)</f>
        <v>0</v>
      </c>
    </row>
    <row r="156" customFormat="false" ht="15" hidden="false" customHeight="false" outlineLevel="0" collapsed="false">
      <c r="A156" s="6" t="s">
        <v>323</v>
      </c>
      <c r="B156" s="7" t="n">
        <v>3</v>
      </c>
      <c r="C156" s="7" t="n">
        <v>6</v>
      </c>
      <c r="D156" s="7" t="n">
        <v>0</v>
      </c>
      <c r="E156" s="7" t="n">
        <v>0</v>
      </c>
      <c r="F156" s="15" t="n">
        <f aca="false">SUM(B156:E156)</f>
        <v>9</v>
      </c>
    </row>
    <row r="157" customFormat="false" ht="15" hidden="false" customHeight="false" outlineLevel="0" collapsed="false">
      <c r="A157" s="6" t="s">
        <v>324</v>
      </c>
      <c r="B157" s="7" t="n">
        <v>3</v>
      </c>
      <c r="C157" s="7" t="n">
        <v>24</v>
      </c>
      <c r="D157" s="7" t="n">
        <v>0</v>
      </c>
      <c r="E157" s="7" t="n">
        <v>0</v>
      </c>
      <c r="F157" s="15" t="n">
        <f aca="false">SUM(B157:E157)</f>
        <v>27</v>
      </c>
    </row>
    <row r="158" customFormat="false" ht="15" hidden="false" customHeight="false" outlineLevel="0" collapsed="false">
      <c r="A158" s="6" t="s">
        <v>325</v>
      </c>
      <c r="B158" s="7" t="n">
        <v>4</v>
      </c>
      <c r="C158" s="7" t="n">
        <v>13</v>
      </c>
      <c r="D158" s="7" t="n">
        <v>0</v>
      </c>
      <c r="E158" s="7" t="n">
        <v>0</v>
      </c>
      <c r="F158" s="15" t="n">
        <f aca="false">SUM(B158:E158)</f>
        <v>17</v>
      </c>
    </row>
    <row r="159" customFormat="false" ht="15" hidden="false" customHeight="false" outlineLevel="0" collapsed="false">
      <c r="A159" s="6" t="s">
        <v>326</v>
      </c>
      <c r="B159" s="7" t="n">
        <v>1</v>
      </c>
      <c r="C159" s="7" t="n">
        <v>1</v>
      </c>
      <c r="D159" s="7" t="n">
        <v>0</v>
      </c>
      <c r="E159" s="7" t="n">
        <v>0</v>
      </c>
      <c r="F159" s="15" t="n">
        <f aca="false">SUM(B159:E159)</f>
        <v>2</v>
      </c>
    </row>
    <row r="160" customFormat="false" ht="15" hidden="false" customHeight="false" outlineLevel="0" collapsed="false">
      <c r="A160" s="6" t="s">
        <v>327</v>
      </c>
      <c r="B160" s="7" t="n">
        <v>2</v>
      </c>
      <c r="C160" s="7" t="n">
        <v>17</v>
      </c>
      <c r="D160" s="7" t="n">
        <v>0</v>
      </c>
      <c r="E160" s="7" t="n">
        <v>0</v>
      </c>
      <c r="F160" s="15" t="n">
        <f aca="false">SUM(B160:E160)</f>
        <v>19</v>
      </c>
    </row>
    <row r="161" customFormat="false" ht="15" hidden="false" customHeight="false" outlineLevel="0" collapsed="false">
      <c r="A161" s="6" t="s">
        <v>328</v>
      </c>
      <c r="B161" s="7" t="n">
        <v>3</v>
      </c>
      <c r="C161" s="7" t="n">
        <v>6</v>
      </c>
      <c r="D161" s="7" t="n">
        <v>0</v>
      </c>
      <c r="E161" s="7" t="n">
        <v>0</v>
      </c>
      <c r="F161" s="15" t="n">
        <f aca="false">SUM(B161:E161)</f>
        <v>9</v>
      </c>
    </row>
    <row r="162" customFormat="false" ht="15" hidden="false" customHeight="false" outlineLevel="0" collapsed="false">
      <c r="A162" s="6" t="s">
        <v>329</v>
      </c>
      <c r="B162" s="7" t="n">
        <v>0</v>
      </c>
      <c r="C162" s="7" t="n">
        <v>0</v>
      </c>
      <c r="D162" s="7" t="n">
        <v>0</v>
      </c>
      <c r="E162" s="7" t="n">
        <v>0</v>
      </c>
      <c r="F162" s="15" t="n">
        <f aca="false">SUM(B162:E162)</f>
        <v>0</v>
      </c>
    </row>
    <row r="163" customFormat="false" ht="15" hidden="false" customHeight="false" outlineLevel="0" collapsed="false">
      <c r="A163" s="6" t="s">
        <v>330</v>
      </c>
      <c r="B163" s="7" t="n">
        <v>3</v>
      </c>
      <c r="C163" s="7" t="n">
        <v>5</v>
      </c>
      <c r="D163" s="7" t="n">
        <v>0</v>
      </c>
      <c r="E163" s="7" t="n">
        <v>0</v>
      </c>
      <c r="F163" s="15" t="n">
        <f aca="false">SUM(B163:E163)</f>
        <v>8</v>
      </c>
    </row>
    <row r="164" customFormat="false" ht="15" hidden="false" customHeight="false" outlineLevel="0" collapsed="false">
      <c r="A164" s="6" t="s">
        <v>331</v>
      </c>
      <c r="B164" s="7" t="n">
        <v>3</v>
      </c>
      <c r="C164" s="7" t="n">
        <v>5</v>
      </c>
      <c r="D164" s="7" t="n">
        <v>0</v>
      </c>
      <c r="E164" s="7" t="n">
        <v>0</v>
      </c>
      <c r="F164" s="15" t="n">
        <f aca="false">SUM(B164:E164)</f>
        <v>8</v>
      </c>
    </row>
    <row r="165" customFormat="false" ht="15" hidden="false" customHeight="false" outlineLevel="0" collapsed="false">
      <c r="A165" s="6" t="s">
        <v>332</v>
      </c>
      <c r="B165" s="7" t="n">
        <v>8</v>
      </c>
      <c r="C165" s="7" t="n">
        <v>39</v>
      </c>
      <c r="D165" s="7" t="n">
        <v>1</v>
      </c>
      <c r="E165" s="7" t="n">
        <v>0</v>
      </c>
      <c r="F165" s="15" t="n">
        <f aca="false">SUM(B165:E165)</f>
        <v>48</v>
      </c>
    </row>
    <row r="166" customFormat="false" ht="15" hidden="false" customHeight="false" outlineLevel="0" collapsed="false">
      <c r="A166" s="6" t="s">
        <v>333</v>
      </c>
      <c r="B166" s="7" t="n">
        <v>7</v>
      </c>
      <c r="C166" s="7" t="n">
        <v>79</v>
      </c>
      <c r="D166" s="7" t="n">
        <v>0</v>
      </c>
      <c r="E166" s="7" t="n">
        <v>1</v>
      </c>
      <c r="F166" s="15" t="n">
        <f aca="false">SUM(B166:E166)</f>
        <v>87</v>
      </c>
    </row>
    <row r="167" customFormat="false" ht="15" hidden="false" customHeight="false" outlineLevel="0" collapsed="false">
      <c r="A167" s="6" t="s">
        <v>334</v>
      </c>
      <c r="B167" s="7" t="n">
        <v>4</v>
      </c>
      <c r="C167" s="7" t="n">
        <v>19</v>
      </c>
      <c r="D167" s="7" t="n">
        <v>0</v>
      </c>
      <c r="E167" s="7" t="n">
        <v>0</v>
      </c>
      <c r="F167" s="15" t="n">
        <f aca="false">SUM(B167:E167)</f>
        <v>23</v>
      </c>
    </row>
    <row r="168" customFormat="false" ht="15" hidden="false" customHeight="false" outlineLevel="0" collapsed="false">
      <c r="A168" s="6" t="s">
        <v>335</v>
      </c>
      <c r="B168" s="7" t="n">
        <v>0</v>
      </c>
      <c r="C168" s="7" t="n">
        <v>0</v>
      </c>
      <c r="D168" s="7" t="n">
        <v>0</v>
      </c>
      <c r="E168" s="7" t="n">
        <v>0</v>
      </c>
      <c r="F168" s="15" t="n">
        <f aca="false">SUM(B168:E168)</f>
        <v>0</v>
      </c>
    </row>
    <row r="169" customFormat="false" ht="15" hidden="false" customHeight="false" outlineLevel="0" collapsed="false">
      <c r="A169" s="6" t="s">
        <v>336</v>
      </c>
      <c r="B169" s="7" t="n">
        <v>1</v>
      </c>
      <c r="C169" s="7" t="n">
        <v>1</v>
      </c>
      <c r="D169" s="7" t="n">
        <v>0</v>
      </c>
      <c r="E169" s="7" t="n">
        <v>0</v>
      </c>
      <c r="F169" s="15" t="n">
        <f aca="false">SUM(B169:E169)</f>
        <v>2</v>
      </c>
    </row>
    <row r="170" customFormat="false" ht="15" hidden="false" customHeight="false" outlineLevel="0" collapsed="false">
      <c r="A170" s="6" t="s">
        <v>337</v>
      </c>
      <c r="B170" s="7" t="n">
        <v>4</v>
      </c>
      <c r="C170" s="7" t="n">
        <v>11</v>
      </c>
      <c r="D170" s="7" t="n">
        <v>0</v>
      </c>
      <c r="E170" s="7" t="n">
        <v>0</v>
      </c>
      <c r="F170" s="15" t="n">
        <f aca="false">SUM(B170:E170)</f>
        <v>15</v>
      </c>
    </row>
    <row r="171" customFormat="false" ht="15" hidden="false" customHeight="false" outlineLevel="0" collapsed="false">
      <c r="A171" s="6" t="s">
        <v>338</v>
      </c>
      <c r="B171" s="7" t="n">
        <v>3</v>
      </c>
      <c r="C171" s="7" t="n">
        <v>16</v>
      </c>
      <c r="D171" s="7" t="n">
        <v>2</v>
      </c>
      <c r="E171" s="7" t="n">
        <v>3</v>
      </c>
      <c r="F171" s="15" t="n">
        <f aca="false">SUM(B171:E171)</f>
        <v>24</v>
      </c>
    </row>
    <row r="172" customFormat="false" ht="15" hidden="false" customHeight="false" outlineLevel="0" collapsed="false">
      <c r="A172" s="6" t="s">
        <v>339</v>
      </c>
      <c r="B172" s="7" t="n">
        <v>1</v>
      </c>
      <c r="C172" s="7" t="n">
        <v>3</v>
      </c>
      <c r="D172" s="7" t="n">
        <v>0</v>
      </c>
      <c r="E172" s="7" t="n">
        <v>0</v>
      </c>
      <c r="F172" s="15" t="n">
        <f aca="false">SUM(B172:E172)</f>
        <v>4</v>
      </c>
    </row>
    <row r="173" customFormat="false" ht="15" hidden="false" customHeight="false" outlineLevel="0" collapsed="false">
      <c r="A173" s="6" t="s">
        <v>340</v>
      </c>
      <c r="B173" s="7" t="n">
        <v>1</v>
      </c>
      <c r="C173" s="7" t="n">
        <v>7</v>
      </c>
      <c r="D173" s="7" t="n">
        <v>0</v>
      </c>
      <c r="E173" s="7" t="n">
        <v>0</v>
      </c>
      <c r="F173" s="15" t="n">
        <f aca="false">SUM(B173:E173)</f>
        <v>8</v>
      </c>
    </row>
    <row r="174" customFormat="false" ht="15" hidden="false" customHeight="false" outlineLevel="0" collapsed="false">
      <c r="A174" s="6" t="s">
        <v>341</v>
      </c>
      <c r="B174" s="7" t="n">
        <v>2</v>
      </c>
      <c r="C174" s="7" t="n">
        <v>5</v>
      </c>
      <c r="D174" s="7" t="n">
        <v>0</v>
      </c>
      <c r="E174" s="7" t="n">
        <v>0</v>
      </c>
      <c r="F174" s="15" t="n">
        <f aca="false">SUM(B174:E174)</f>
        <v>7</v>
      </c>
    </row>
    <row r="175" customFormat="false" ht="15" hidden="false" customHeight="false" outlineLevel="0" collapsed="false">
      <c r="A175" s="6" t="s">
        <v>342</v>
      </c>
      <c r="B175" s="7" t="n">
        <v>6</v>
      </c>
      <c r="C175" s="7" t="n">
        <v>28</v>
      </c>
      <c r="D175" s="7" t="n">
        <v>3</v>
      </c>
      <c r="E175" s="7" t="n">
        <v>4</v>
      </c>
      <c r="F175" s="15" t="n">
        <f aca="false">SUM(B175:E175)</f>
        <v>41</v>
      </c>
    </row>
    <row r="176" customFormat="false" ht="15" hidden="false" customHeight="false" outlineLevel="0" collapsed="false">
      <c r="A176" s="6" t="s">
        <v>343</v>
      </c>
      <c r="B176" s="7" t="n">
        <v>2</v>
      </c>
      <c r="C176" s="7" t="n">
        <v>2</v>
      </c>
      <c r="D176" s="7" t="n">
        <v>0</v>
      </c>
      <c r="E176" s="7" t="n">
        <v>0</v>
      </c>
      <c r="F176" s="15" t="n">
        <f aca="false">SUM(B176:E176)</f>
        <v>4</v>
      </c>
    </row>
    <row r="177" customFormat="false" ht="15" hidden="false" customHeight="false" outlineLevel="0" collapsed="false">
      <c r="A177" s="6" t="s">
        <v>344</v>
      </c>
      <c r="B177" s="7" t="n">
        <v>1</v>
      </c>
      <c r="C177" s="7" t="n">
        <v>3</v>
      </c>
      <c r="D177" s="7" t="n">
        <v>0</v>
      </c>
      <c r="E177" s="7" t="n">
        <v>1</v>
      </c>
      <c r="F177" s="15" t="n">
        <f aca="false">SUM(B177:E177)</f>
        <v>5</v>
      </c>
    </row>
    <row r="178" customFormat="false" ht="15" hidden="false" customHeight="false" outlineLevel="0" collapsed="false">
      <c r="A178" s="6" t="s">
        <v>345</v>
      </c>
      <c r="B178" s="7" t="n">
        <v>1</v>
      </c>
      <c r="C178" s="7" t="n">
        <v>0</v>
      </c>
      <c r="D178" s="7" t="n">
        <v>0</v>
      </c>
      <c r="E178" s="7" t="n">
        <v>0</v>
      </c>
      <c r="F178" s="15" t="n">
        <f aca="false">SUM(B178:E178)</f>
        <v>1</v>
      </c>
    </row>
    <row r="179" customFormat="false" ht="15" hidden="false" customHeight="false" outlineLevel="0" collapsed="false">
      <c r="A179" s="6" t="s">
        <v>346</v>
      </c>
      <c r="B179" s="7" t="n">
        <v>4</v>
      </c>
      <c r="C179" s="7" t="n">
        <v>21</v>
      </c>
      <c r="D179" s="7" t="n">
        <v>2</v>
      </c>
      <c r="E179" s="7" t="n">
        <v>2</v>
      </c>
      <c r="F179" s="15" t="n">
        <f aca="false">SUM(B179:E179)</f>
        <v>29</v>
      </c>
    </row>
    <row r="180" customFormat="false" ht="15" hidden="false" customHeight="false" outlineLevel="0" collapsed="false">
      <c r="A180" s="6" t="s">
        <v>347</v>
      </c>
      <c r="B180" s="7" t="n">
        <v>3</v>
      </c>
      <c r="C180" s="7" t="n">
        <v>12</v>
      </c>
      <c r="D180" s="7" t="n">
        <v>0</v>
      </c>
      <c r="E180" s="7" t="n">
        <v>0</v>
      </c>
      <c r="F180" s="15" t="n">
        <f aca="false">SUM(B180:E180)</f>
        <v>15</v>
      </c>
    </row>
    <row r="181" customFormat="false" ht="15" hidden="false" customHeight="false" outlineLevel="0" collapsed="false">
      <c r="A181" s="6" t="s">
        <v>348</v>
      </c>
      <c r="B181" s="7" t="n">
        <v>0</v>
      </c>
      <c r="C181" s="7" t="n">
        <v>0</v>
      </c>
      <c r="D181" s="7" t="n">
        <v>0</v>
      </c>
      <c r="E181" s="7" t="n">
        <v>0</v>
      </c>
      <c r="F181" s="15" t="n">
        <f aca="false">SUM(B181:E181)</f>
        <v>0</v>
      </c>
    </row>
    <row r="182" customFormat="false" ht="15" hidden="false" customHeight="false" outlineLevel="0" collapsed="false">
      <c r="A182" s="6" t="s">
        <v>349</v>
      </c>
      <c r="B182" s="7" t="n">
        <v>2</v>
      </c>
      <c r="C182" s="7" t="n">
        <v>3</v>
      </c>
      <c r="D182" s="7" t="n">
        <v>0</v>
      </c>
      <c r="E182" s="7" t="n">
        <v>0</v>
      </c>
      <c r="F182" s="15" t="n">
        <f aca="false">SUM(B182:E182)</f>
        <v>5</v>
      </c>
    </row>
    <row r="183" customFormat="false" ht="15" hidden="false" customHeight="false" outlineLevel="0" collapsed="false">
      <c r="A183" s="6" t="s">
        <v>350</v>
      </c>
      <c r="B183" s="7" t="n">
        <v>3</v>
      </c>
      <c r="C183" s="7" t="n">
        <v>3</v>
      </c>
      <c r="D183" s="7" t="n">
        <v>0</v>
      </c>
      <c r="E183" s="7" t="n">
        <v>0</v>
      </c>
      <c r="F183" s="15" t="n">
        <f aca="false">SUM(B183:E183)</f>
        <v>6</v>
      </c>
    </row>
    <row r="184" customFormat="false" ht="15" hidden="false" customHeight="false" outlineLevel="0" collapsed="false">
      <c r="A184" s="6" t="s">
        <v>351</v>
      </c>
      <c r="B184" s="7" t="n">
        <v>1</v>
      </c>
      <c r="C184" s="7" t="n">
        <v>0</v>
      </c>
      <c r="D184" s="7" t="n">
        <v>0</v>
      </c>
      <c r="E184" s="7" t="n">
        <v>0</v>
      </c>
      <c r="F184" s="15" t="n">
        <f aca="false">SUM(B184:E184)</f>
        <v>1</v>
      </c>
    </row>
    <row r="185" customFormat="false" ht="15" hidden="false" customHeight="false" outlineLevel="0" collapsed="false">
      <c r="A185" s="6" t="s">
        <v>352</v>
      </c>
      <c r="B185" s="7" t="n">
        <v>2</v>
      </c>
      <c r="C185" s="7" t="n">
        <v>5</v>
      </c>
      <c r="D185" s="7" t="n">
        <v>0</v>
      </c>
      <c r="E185" s="7" t="n">
        <v>0</v>
      </c>
      <c r="F185" s="15" t="n">
        <f aca="false">SUM(B185:E185)</f>
        <v>7</v>
      </c>
    </row>
    <row r="186" customFormat="false" ht="15" hidden="false" customHeight="false" outlineLevel="0" collapsed="false">
      <c r="A186" s="6" t="s">
        <v>353</v>
      </c>
      <c r="B186" s="7" t="n">
        <v>4</v>
      </c>
      <c r="C186" s="7" t="n">
        <v>10</v>
      </c>
      <c r="D186" s="7" t="n">
        <v>0</v>
      </c>
      <c r="E186" s="7" t="n">
        <v>0</v>
      </c>
      <c r="F186" s="15" t="n">
        <f aca="false">SUM(B186:E186)</f>
        <v>14</v>
      </c>
    </row>
    <row r="187" customFormat="false" ht="15" hidden="false" customHeight="false" outlineLevel="0" collapsed="false">
      <c r="A187" s="6" t="s">
        <v>354</v>
      </c>
      <c r="B187" s="7" t="n">
        <v>0</v>
      </c>
      <c r="C187" s="7" t="n">
        <v>0</v>
      </c>
      <c r="D187" s="7" t="n">
        <v>0</v>
      </c>
      <c r="E187" s="7" t="n">
        <v>0</v>
      </c>
      <c r="F187" s="15" t="n">
        <f aca="false">SUM(B187:E187)</f>
        <v>0</v>
      </c>
    </row>
    <row r="188" customFormat="false" ht="15" hidden="false" customHeight="false" outlineLevel="0" collapsed="false">
      <c r="A188" s="6" t="s">
        <v>355</v>
      </c>
      <c r="B188" s="7" t="n">
        <v>3</v>
      </c>
      <c r="C188" s="7" t="n">
        <v>11</v>
      </c>
      <c r="D188" s="7" t="n">
        <v>0</v>
      </c>
      <c r="E188" s="7" t="n">
        <v>0</v>
      </c>
      <c r="F188" s="15" t="n">
        <f aca="false">SUM(B188:E188)</f>
        <v>14</v>
      </c>
    </row>
    <row r="189" customFormat="false" ht="15" hidden="false" customHeight="false" outlineLevel="0" collapsed="false">
      <c r="A189" s="6" t="s">
        <v>356</v>
      </c>
      <c r="B189" s="7" t="n">
        <v>0</v>
      </c>
      <c r="C189" s="7" t="n">
        <v>5</v>
      </c>
      <c r="D189" s="7" t="n">
        <v>0</v>
      </c>
      <c r="E189" s="7" t="n">
        <v>0</v>
      </c>
      <c r="F189" s="15" t="n">
        <f aca="false">SUM(B189:E189)</f>
        <v>5</v>
      </c>
    </row>
    <row r="190" customFormat="false" ht="15" hidden="false" customHeight="false" outlineLevel="0" collapsed="false">
      <c r="A190" s="6" t="s">
        <v>357</v>
      </c>
      <c r="B190" s="7" t="n">
        <v>2</v>
      </c>
      <c r="C190" s="7" t="n">
        <v>4</v>
      </c>
      <c r="D190" s="7" t="n">
        <v>0</v>
      </c>
      <c r="E190" s="7" t="n">
        <v>0</v>
      </c>
      <c r="F190" s="15" t="n">
        <f aca="false">SUM(B190:E190)</f>
        <v>6</v>
      </c>
    </row>
    <row r="191" customFormat="false" ht="15" hidden="false" customHeight="false" outlineLevel="0" collapsed="false">
      <c r="A191" s="6" t="s">
        <v>358</v>
      </c>
      <c r="B191" s="7" t="n">
        <v>2</v>
      </c>
      <c r="C191" s="7" t="n">
        <v>5</v>
      </c>
      <c r="D191" s="7" t="n">
        <v>0</v>
      </c>
      <c r="E191" s="7" t="n">
        <v>0</v>
      </c>
      <c r="F191" s="15" t="n">
        <f aca="false">SUM(B191:E191)</f>
        <v>7</v>
      </c>
    </row>
    <row r="192" customFormat="false" ht="15" hidden="false" customHeight="false" outlineLevel="0" collapsed="false">
      <c r="A192" s="6" t="s">
        <v>359</v>
      </c>
      <c r="B192" s="7" t="n">
        <v>2</v>
      </c>
      <c r="C192" s="7" t="n">
        <v>2</v>
      </c>
      <c r="D192" s="7" t="n">
        <v>0</v>
      </c>
      <c r="E192" s="7" t="n">
        <v>0</v>
      </c>
      <c r="F192" s="15" t="n">
        <f aca="false">SUM(B192:E192)</f>
        <v>4</v>
      </c>
    </row>
    <row r="193" customFormat="false" ht="15" hidden="false" customHeight="false" outlineLevel="0" collapsed="false">
      <c r="A193" s="6" t="s">
        <v>360</v>
      </c>
      <c r="B193" s="7" t="n">
        <v>6</v>
      </c>
      <c r="C193" s="7" t="n">
        <v>30</v>
      </c>
      <c r="D193" s="7" t="n">
        <v>1</v>
      </c>
      <c r="E193" s="7" t="n">
        <v>0</v>
      </c>
      <c r="F193" s="15" t="n">
        <f aca="false">SUM(B193:E193)</f>
        <v>37</v>
      </c>
    </row>
    <row r="194" customFormat="false" ht="15" hidden="false" customHeight="false" outlineLevel="0" collapsed="false">
      <c r="A194" s="6" t="s">
        <v>361</v>
      </c>
      <c r="B194" s="7" t="n">
        <v>0</v>
      </c>
      <c r="C194" s="7" t="n">
        <v>4</v>
      </c>
      <c r="D194" s="7" t="n">
        <v>0</v>
      </c>
      <c r="E194" s="7" t="n">
        <v>0</v>
      </c>
      <c r="F194" s="15" t="n">
        <f aca="false">SUM(B194:E194)</f>
        <v>4</v>
      </c>
    </row>
    <row r="195" customFormat="false" ht="15" hidden="false" customHeight="false" outlineLevel="0" collapsed="false">
      <c r="A195" s="6" t="s">
        <v>362</v>
      </c>
      <c r="B195" s="7" t="n">
        <v>0</v>
      </c>
      <c r="C195" s="7" t="n">
        <v>0</v>
      </c>
      <c r="D195" s="7" t="n">
        <v>0</v>
      </c>
      <c r="E195" s="7" t="n">
        <v>0</v>
      </c>
      <c r="F195" s="15" t="n">
        <f aca="false">SUM(B195:E195)</f>
        <v>0</v>
      </c>
    </row>
    <row r="196" customFormat="false" ht="15" hidden="false" customHeight="false" outlineLevel="0" collapsed="false">
      <c r="A196" s="6" t="s">
        <v>363</v>
      </c>
      <c r="B196" s="7" t="n">
        <v>1</v>
      </c>
      <c r="C196" s="7" t="n">
        <v>29</v>
      </c>
      <c r="D196" s="7" t="n">
        <v>0</v>
      </c>
      <c r="E196" s="7" t="n">
        <v>0</v>
      </c>
      <c r="F196" s="15" t="n">
        <f aca="false">SUM(B196:E196)</f>
        <v>30</v>
      </c>
    </row>
    <row r="197" customFormat="false" ht="15" hidden="false" customHeight="false" outlineLevel="0" collapsed="false">
      <c r="A197" s="6" t="s">
        <v>364</v>
      </c>
      <c r="B197" s="7" t="n">
        <v>3</v>
      </c>
      <c r="C197" s="7" t="n">
        <v>7</v>
      </c>
      <c r="D197" s="7" t="n">
        <v>0</v>
      </c>
      <c r="E197" s="7" t="n">
        <v>0</v>
      </c>
      <c r="F197" s="15" t="n">
        <f aca="false">SUM(B197:E197)</f>
        <v>10</v>
      </c>
    </row>
    <row r="198" customFormat="false" ht="15" hidden="false" customHeight="false" outlineLevel="0" collapsed="false">
      <c r="A198" s="6" t="s">
        <v>365</v>
      </c>
      <c r="B198" s="7" t="n">
        <v>4</v>
      </c>
      <c r="C198" s="7" t="n">
        <v>29</v>
      </c>
      <c r="D198" s="7" t="n">
        <v>1</v>
      </c>
      <c r="E198" s="7" t="n">
        <v>0</v>
      </c>
      <c r="F198" s="15" t="n">
        <f aca="false">SUM(B198:E198)</f>
        <v>34</v>
      </c>
    </row>
    <row r="199" customFormat="false" ht="15" hidden="false" customHeight="false" outlineLevel="0" collapsed="false">
      <c r="A199" s="6" t="s">
        <v>366</v>
      </c>
      <c r="B199" s="7" t="n">
        <v>0</v>
      </c>
      <c r="C199" s="7" t="n">
        <v>5</v>
      </c>
      <c r="D199" s="7" t="n">
        <v>0</v>
      </c>
      <c r="E199" s="7" t="n">
        <v>0</v>
      </c>
      <c r="F199" s="15" t="n">
        <f aca="false">SUM(B199:E199)</f>
        <v>5</v>
      </c>
    </row>
    <row r="200" customFormat="false" ht="15" hidden="false" customHeight="false" outlineLevel="0" collapsed="false">
      <c r="A200" s="6" t="s">
        <v>367</v>
      </c>
      <c r="B200" s="7" t="n">
        <v>2</v>
      </c>
      <c r="C200" s="7" t="n">
        <v>3</v>
      </c>
      <c r="D200" s="7" t="n">
        <v>0</v>
      </c>
      <c r="E200" s="7" t="n">
        <v>0</v>
      </c>
      <c r="F200" s="15" t="n">
        <f aca="false">SUM(B200:E200)</f>
        <v>5</v>
      </c>
    </row>
    <row r="201" customFormat="false" ht="15" hidden="false" customHeight="false" outlineLevel="0" collapsed="false">
      <c r="A201" s="6" t="s">
        <v>368</v>
      </c>
      <c r="B201" s="7" t="n">
        <v>3</v>
      </c>
      <c r="C201" s="7" t="n">
        <v>4</v>
      </c>
      <c r="D201" s="7" t="n">
        <v>0</v>
      </c>
      <c r="E201" s="7" t="n">
        <v>0</v>
      </c>
      <c r="F201" s="15" t="n">
        <f aca="false">SUM(B201:E201)</f>
        <v>7</v>
      </c>
    </row>
    <row r="202" customFormat="false" ht="15" hidden="false" customHeight="false" outlineLevel="0" collapsed="false">
      <c r="A202" s="6" t="s">
        <v>369</v>
      </c>
      <c r="B202" s="7" t="n">
        <v>3</v>
      </c>
      <c r="C202" s="7" t="n">
        <v>7</v>
      </c>
      <c r="D202" s="7" t="n">
        <v>1</v>
      </c>
      <c r="E202" s="7" t="n">
        <v>0</v>
      </c>
      <c r="F202" s="15" t="n">
        <f aca="false">SUM(B202:E202)</f>
        <v>11</v>
      </c>
    </row>
    <row r="203" customFormat="false" ht="15" hidden="false" customHeight="false" outlineLevel="0" collapsed="false">
      <c r="A203" s="6" t="s">
        <v>370</v>
      </c>
      <c r="B203" s="7" t="n">
        <v>1</v>
      </c>
      <c r="C203" s="7" t="n">
        <v>3</v>
      </c>
      <c r="D203" s="7" t="n">
        <v>0</v>
      </c>
      <c r="E203" s="7" t="n">
        <v>0</v>
      </c>
      <c r="F203" s="15" t="n">
        <f aca="false">SUM(B203:E203)</f>
        <v>4</v>
      </c>
    </row>
    <row r="204" customFormat="false" ht="15" hidden="false" customHeight="false" outlineLevel="0" collapsed="false">
      <c r="A204" s="6" t="s">
        <v>371</v>
      </c>
      <c r="B204" s="7" t="n">
        <v>0</v>
      </c>
      <c r="C204" s="7" t="n">
        <v>2</v>
      </c>
      <c r="D204" s="7" t="n">
        <v>0</v>
      </c>
      <c r="E204" s="7" t="n">
        <v>0</v>
      </c>
      <c r="F204" s="15" t="n">
        <f aca="false">SUM(B204:E204)</f>
        <v>2</v>
      </c>
    </row>
    <row r="205" customFormat="false" ht="15" hidden="false" customHeight="false" outlineLevel="0" collapsed="false">
      <c r="A205" s="6" t="s">
        <v>372</v>
      </c>
      <c r="B205" s="7" t="n">
        <v>3</v>
      </c>
      <c r="C205" s="7" t="n">
        <v>7</v>
      </c>
      <c r="D205" s="7" t="n">
        <v>0</v>
      </c>
      <c r="E205" s="7" t="n">
        <v>0</v>
      </c>
      <c r="F205" s="15" t="n">
        <f aca="false">SUM(B205:E205)</f>
        <v>10</v>
      </c>
    </row>
    <row r="206" customFormat="false" ht="15" hidden="false" customHeight="false" outlineLevel="0" collapsed="false">
      <c r="A206" s="6" t="s">
        <v>373</v>
      </c>
      <c r="B206" s="7" t="n">
        <v>0</v>
      </c>
      <c r="C206" s="7" t="n">
        <v>0</v>
      </c>
      <c r="D206" s="7" t="n">
        <v>0</v>
      </c>
      <c r="E206" s="7" t="n">
        <v>0</v>
      </c>
      <c r="F206" s="15" t="n">
        <f aca="false">SUM(B206:E206)</f>
        <v>0</v>
      </c>
    </row>
    <row r="207" customFormat="false" ht="15" hidden="false" customHeight="false" outlineLevel="0" collapsed="false">
      <c r="A207" s="6" t="s">
        <v>374</v>
      </c>
      <c r="B207" s="7" t="n">
        <v>2</v>
      </c>
      <c r="C207" s="7" t="n">
        <v>18</v>
      </c>
      <c r="D207" s="7" t="n">
        <v>0</v>
      </c>
      <c r="E207" s="7" t="n">
        <v>0</v>
      </c>
      <c r="F207" s="15" t="n">
        <f aca="false">SUM(B207:E207)</f>
        <v>20</v>
      </c>
    </row>
    <row r="208" customFormat="false" ht="15" hidden="false" customHeight="false" outlineLevel="0" collapsed="false">
      <c r="A208" s="6" t="s">
        <v>375</v>
      </c>
      <c r="B208" s="7" t="n">
        <v>5</v>
      </c>
      <c r="C208" s="7" t="n">
        <v>9</v>
      </c>
      <c r="D208" s="7" t="n">
        <v>0</v>
      </c>
      <c r="E208" s="7" t="n">
        <v>0</v>
      </c>
      <c r="F208" s="15" t="n">
        <f aca="false">SUM(B208:E208)</f>
        <v>14</v>
      </c>
    </row>
    <row r="209" customFormat="false" ht="15" hidden="false" customHeight="false" outlineLevel="0" collapsed="false">
      <c r="A209" s="6" t="s">
        <v>376</v>
      </c>
      <c r="B209" s="7" t="n">
        <v>2</v>
      </c>
      <c r="C209" s="7" t="n">
        <v>3</v>
      </c>
      <c r="D209" s="7" t="n">
        <v>0</v>
      </c>
      <c r="E209" s="7" t="n">
        <v>0</v>
      </c>
      <c r="F209" s="15" t="n">
        <f aca="false">SUM(B209:E209)</f>
        <v>5</v>
      </c>
    </row>
    <row r="210" customFormat="false" ht="15" hidden="false" customHeight="false" outlineLevel="0" collapsed="false">
      <c r="A210" s="6" t="s">
        <v>377</v>
      </c>
      <c r="B210" s="7" t="n">
        <v>1</v>
      </c>
      <c r="C210" s="7" t="n">
        <v>4</v>
      </c>
      <c r="D210" s="7" t="n">
        <v>1</v>
      </c>
      <c r="E210" s="7" t="n">
        <v>1</v>
      </c>
      <c r="F210" s="15" t="n">
        <f aca="false">SUM(B210:E210)</f>
        <v>7</v>
      </c>
    </row>
    <row r="211" customFormat="false" ht="15" hidden="false" customHeight="false" outlineLevel="0" collapsed="false">
      <c r="A211" s="6" t="s">
        <v>378</v>
      </c>
      <c r="B211" s="7" t="n">
        <v>2</v>
      </c>
      <c r="C211" s="7" t="n">
        <v>11</v>
      </c>
      <c r="D211" s="7" t="n">
        <v>0</v>
      </c>
      <c r="E211" s="7" t="n">
        <v>0</v>
      </c>
      <c r="F211" s="15" t="n">
        <f aca="false">SUM(B211:E211)</f>
        <v>13</v>
      </c>
    </row>
    <row r="212" customFormat="false" ht="15" hidden="false" customHeight="false" outlineLevel="0" collapsed="false">
      <c r="A212" s="6" t="s">
        <v>379</v>
      </c>
      <c r="B212" s="7" t="n">
        <v>2</v>
      </c>
      <c r="C212" s="7" t="n">
        <v>4</v>
      </c>
      <c r="D212" s="7" t="n">
        <v>0</v>
      </c>
      <c r="E212" s="7" t="n">
        <v>0</v>
      </c>
      <c r="F212" s="15" t="n">
        <f aca="false">SUM(B212:E212)</f>
        <v>6</v>
      </c>
    </row>
    <row r="213" customFormat="false" ht="15" hidden="false" customHeight="false" outlineLevel="0" collapsed="false">
      <c r="A213" s="6" t="s">
        <v>380</v>
      </c>
      <c r="B213" s="7" t="n">
        <v>4</v>
      </c>
      <c r="C213" s="7" t="n">
        <v>10</v>
      </c>
      <c r="D213" s="7" t="n">
        <v>0</v>
      </c>
      <c r="E213" s="7" t="n">
        <v>0</v>
      </c>
      <c r="F213" s="15" t="n">
        <f aca="false">SUM(B213:E213)</f>
        <v>14</v>
      </c>
    </row>
    <row r="214" customFormat="false" ht="15" hidden="false" customHeight="false" outlineLevel="0" collapsed="false">
      <c r="A214" s="6" t="s">
        <v>381</v>
      </c>
      <c r="B214" s="7" t="n">
        <v>2</v>
      </c>
      <c r="C214" s="7" t="n">
        <v>5</v>
      </c>
      <c r="D214" s="7" t="n">
        <v>0</v>
      </c>
      <c r="E214" s="7" t="n">
        <v>0</v>
      </c>
      <c r="F214" s="15" t="n">
        <f aca="false">SUM(B214:E214)</f>
        <v>7</v>
      </c>
    </row>
    <row r="215" customFormat="false" ht="15" hidden="false" customHeight="false" outlineLevel="0" collapsed="false">
      <c r="A215" s="6" t="s">
        <v>382</v>
      </c>
      <c r="B215" s="7" t="n">
        <v>3</v>
      </c>
      <c r="C215" s="7" t="n">
        <v>6</v>
      </c>
      <c r="D215" s="7" t="n">
        <v>0</v>
      </c>
      <c r="E215" s="7" t="n">
        <v>0</v>
      </c>
      <c r="F215" s="15" t="n">
        <f aca="false">SUM(B215:E215)</f>
        <v>9</v>
      </c>
    </row>
    <row r="216" customFormat="false" ht="15" hidden="false" customHeight="false" outlineLevel="0" collapsed="false">
      <c r="A216" s="6" t="s">
        <v>383</v>
      </c>
      <c r="B216" s="7" t="n">
        <v>3</v>
      </c>
      <c r="C216" s="7" t="n">
        <v>1</v>
      </c>
      <c r="D216" s="7" t="n">
        <v>0</v>
      </c>
      <c r="E216" s="7" t="n">
        <v>0</v>
      </c>
      <c r="F216" s="15" t="n">
        <f aca="false">SUM(B216:E216)</f>
        <v>4</v>
      </c>
    </row>
    <row r="217" customFormat="false" ht="15" hidden="false" customHeight="false" outlineLevel="0" collapsed="false">
      <c r="A217" s="6" t="s">
        <v>384</v>
      </c>
      <c r="B217" s="7" t="n">
        <v>0</v>
      </c>
      <c r="C217" s="7" t="n">
        <v>0</v>
      </c>
      <c r="D217" s="7" t="n">
        <v>0</v>
      </c>
      <c r="E217" s="7" t="n">
        <v>0</v>
      </c>
      <c r="F217" s="15" t="n">
        <f aca="false">SUM(B217:E217)</f>
        <v>0</v>
      </c>
    </row>
    <row r="218" customFormat="false" ht="15" hidden="false" customHeight="false" outlineLevel="0" collapsed="false">
      <c r="A218" s="6" t="s">
        <v>385</v>
      </c>
      <c r="B218" s="7" t="n">
        <v>13</v>
      </c>
      <c r="C218" s="7" t="n">
        <v>147</v>
      </c>
      <c r="D218" s="7" t="n">
        <v>10</v>
      </c>
      <c r="E218" s="7" t="n">
        <v>33</v>
      </c>
      <c r="F218" s="15" t="n">
        <f aca="false">SUM(B218:E218)</f>
        <v>203</v>
      </c>
    </row>
    <row r="219" customFormat="false" ht="15" hidden="false" customHeight="false" outlineLevel="0" collapsed="false">
      <c r="A219" s="6" t="s">
        <v>386</v>
      </c>
      <c r="B219" s="7" t="n">
        <v>16</v>
      </c>
      <c r="C219" s="7" t="n">
        <v>145</v>
      </c>
      <c r="D219" s="7" t="n">
        <v>13</v>
      </c>
      <c r="E219" s="7" t="n">
        <v>27</v>
      </c>
      <c r="F219" s="15" t="n">
        <f aca="false">SUM(B219:E219)</f>
        <v>201</v>
      </c>
    </row>
    <row r="220" customFormat="false" ht="15" hidden="false" customHeight="false" outlineLevel="0" collapsed="false">
      <c r="A220" s="6" t="s">
        <v>387</v>
      </c>
      <c r="B220" s="7" t="n">
        <v>2</v>
      </c>
      <c r="C220" s="7" t="n">
        <v>7</v>
      </c>
      <c r="D220" s="7" t="n">
        <v>1</v>
      </c>
      <c r="E220" s="7" t="n">
        <v>3</v>
      </c>
      <c r="F220" s="15" t="n">
        <f aca="false">SUM(B220:E220)</f>
        <v>13</v>
      </c>
    </row>
    <row r="221" customFormat="false" ht="15" hidden="false" customHeight="false" outlineLevel="0" collapsed="false">
      <c r="A221" s="6" t="s">
        <v>388</v>
      </c>
      <c r="B221" s="7" t="n">
        <v>1</v>
      </c>
      <c r="C221" s="7" t="n">
        <v>4</v>
      </c>
      <c r="D221" s="7" t="n">
        <v>0</v>
      </c>
      <c r="E221" s="7" t="n">
        <v>0</v>
      </c>
      <c r="F221" s="15" t="n">
        <f aca="false">SUM(B221:E221)</f>
        <v>5</v>
      </c>
    </row>
    <row r="222" customFormat="false" ht="15" hidden="false" customHeight="false" outlineLevel="0" collapsed="false">
      <c r="A222" s="6" t="s">
        <v>389</v>
      </c>
      <c r="B222" s="7" t="n">
        <v>3</v>
      </c>
      <c r="C222" s="7" t="n">
        <v>6</v>
      </c>
      <c r="D222" s="7" t="n">
        <v>0</v>
      </c>
      <c r="E222" s="7" t="n">
        <v>0</v>
      </c>
      <c r="F222" s="15" t="n">
        <f aca="false">SUM(B222:E222)</f>
        <v>9</v>
      </c>
    </row>
    <row r="223" customFormat="false" ht="15" hidden="false" customHeight="false" outlineLevel="0" collapsed="false">
      <c r="A223" s="6" t="s">
        <v>390</v>
      </c>
      <c r="B223" s="7" t="n">
        <v>0</v>
      </c>
      <c r="C223" s="7" t="n">
        <v>3</v>
      </c>
      <c r="D223" s="7" t="n">
        <v>0</v>
      </c>
      <c r="E223" s="7" t="n">
        <v>0</v>
      </c>
      <c r="F223" s="15" t="n">
        <f aca="false">SUM(B223:E223)</f>
        <v>3</v>
      </c>
    </row>
    <row r="224" customFormat="false" ht="15" hidden="false" customHeight="false" outlineLevel="0" collapsed="false">
      <c r="A224" s="6" t="s">
        <v>391</v>
      </c>
      <c r="B224" s="7" t="n">
        <v>3</v>
      </c>
      <c r="C224" s="7" t="n">
        <v>8</v>
      </c>
      <c r="D224" s="7" t="n">
        <v>0</v>
      </c>
      <c r="E224" s="7" t="n">
        <v>0</v>
      </c>
      <c r="F224" s="15" t="n">
        <f aca="false">SUM(B224:E224)</f>
        <v>11</v>
      </c>
    </row>
    <row r="225" customFormat="false" ht="15" hidden="false" customHeight="false" outlineLevel="0" collapsed="false">
      <c r="A225" s="6" t="s">
        <v>392</v>
      </c>
      <c r="B225" s="7" t="n">
        <v>2</v>
      </c>
      <c r="C225" s="7" t="n">
        <v>4</v>
      </c>
      <c r="D225" s="7" t="n">
        <v>0</v>
      </c>
      <c r="E225" s="7" t="n">
        <v>0</v>
      </c>
      <c r="F225" s="15" t="n">
        <f aca="false">SUM(B225:E225)</f>
        <v>6</v>
      </c>
    </row>
    <row r="226" customFormat="false" ht="15" hidden="false" customHeight="false" outlineLevel="0" collapsed="false">
      <c r="A226" s="6" t="s">
        <v>393</v>
      </c>
      <c r="B226" s="7" t="n">
        <v>1</v>
      </c>
      <c r="C226" s="7" t="n">
        <v>2</v>
      </c>
      <c r="D226" s="7" t="n">
        <v>0</v>
      </c>
      <c r="E226" s="7" t="n">
        <v>0</v>
      </c>
      <c r="F226" s="15" t="n">
        <f aca="false">SUM(B226:E226)</f>
        <v>3</v>
      </c>
    </row>
    <row r="227" customFormat="false" ht="15" hidden="false" customHeight="false" outlineLevel="0" collapsed="false">
      <c r="A227" s="11" t="s">
        <v>139</v>
      </c>
      <c r="B227" s="12" t="n">
        <f aca="false">SUM(B3:B226)</f>
        <v>560</v>
      </c>
      <c r="C227" s="12" t="n">
        <f aca="false">SUM(C3:C226)</f>
        <v>3267</v>
      </c>
      <c r="D227" s="12" t="n">
        <f aca="false">SUM(D3:D226)</f>
        <v>97</v>
      </c>
      <c r="E227" s="12" t="n">
        <f aca="false">SUM(E3:E226)</f>
        <v>245</v>
      </c>
      <c r="F227" s="12" t="n">
        <f aca="false">SUM(F3:F226)</f>
        <v>4169</v>
      </c>
    </row>
    <row r="229" customFormat="false" ht="15" hidden="false" customHeight="false" outlineLevel="0" collapsed="false">
      <c r="A229" s="14" t="s">
        <v>6</v>
      </c>
      <c r="B229" s="14"/>
      <c r="C229" s="14"/>
      <c r="D229" s="14"/>
      <c r="E229" s="14"/>
      <c r="F229" s="14"/>
    </row>
  </sheetData>
  <autoFilter ref="A2:F226"/>
  <mergeCells count="2">
    <mergeCell ref="A1:F1"/>
    <mergeCell ref="A229:F2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4"/>
  </cols>
  <sheetData>
    <row r="1" customFormat="false" ht="21.75" hidden="false" customHeight="true" outlineLevel="0" collapsed="false">
      <c r="A1" s="4" t="s">
        <v>394</v>
      </c>
      <c r="B1" s="4"/>
      <c r="C1" s="4"/>
    </row>
    <row r="2" customFormat="false" ht="30" hidden="false" customHeight="true" outlineLevel="0" collapsed="false">
      <c r="A2" s="5" t="s">
        <v>395</v>
      </c>
      <c r="B2" s="5" t="s">
        <v>396</v>
      </c>
      <c r="C2" s="5" t="s">
        <v>397</v>
      </c>
    </row>
    <row r="3" customFormat="false" ht="15" hidden="false" customHeight="false" outlineLevel="0" collapsed="false">
      <c r="A3" s="16" t="s">
        <v>398</v>
      </c>
      <c r="B3" s="15" t="n">
        <f aca="false">COUNT('1 Est Subclasses'!C3:C122)</f>
        <v>120</v>
      </c>
      <c r="C3" s="15" t="n">
        <f aca="false">COUNT('3 CERIE Subclasses'!C3:C89)</f>
        <v>87</v>
      </c>
    </row>
    <row r="4" customFormat="false" ht="15" hidden="false" customHeight="false" outlineLevel="0" collapsed="false">
      <c r="A4" s="16" t="s">
        <v>399</v>
      </c>
      <c r="B4" s="15" t="n">
        <f aca="false">SUM('1 Est Subclasses'!E3:E122)</f>
        <v>54</v>
      </c>
      <c r="C4" s="15" t="n">
        <f aca="false">SUM('3 CERIE Subclasses'!E3:E89)</f>
        <v>28</v>
      </c>
    </row>
    <row r="5" customFormat="false" ht="15" hidden="false" customHeight="false" outlineLevel="0" collapsed="false">
      <c r="A5" s="16" t="s">
        <v>400</v>
      </c>
      <c r="B5" s="15" t="n">
        <f aca="false">SUM('1 Est Subclasses'!F3:F122)</f>
        <v>5991</v>
      </c>
      <c r="C5" s="15" t="n">
        <f aca="false">SUM('3 CERIE Subclasses'!F3:F89)</f>
        <v>5065</v>
      </c>
    </row>
    <row r="6" customFormat="false" ht="15" hidden="false" customHeight="false" outlineLevel="0" collapsed="false">
      <c r="A6" s="16" t="s">
        <v>401</v>
      </c>
      <c r="B6" s="15" t="n">
        <f aca="false">SUM('1 Est Subclasses'!H3:H122)</f>
        <v>6042</v>
      </c>
      <c r="C6" s="15" t="n">
        <f aca="false">SUM('3 CERIE Subclasses'!H3:H89)</f>
        <v>5118</v>
      </c>
    </row>
    <row r="7" customFormat="false" ht="15" hidden="false" customHeight="false" outlineLevel="0" collapsed="false">
      <c r="A7" s="16" t="s">
        <v>402</v>
      </c>
      <c r="B7" s="15" t="n">
        <f aca="false">SUM('1 Est Subclasses'!I3:I122)</f>
        <v>4032</v>
      </c>
      <c r="C7" s="15" t="n">
        <f aca="false">SUM('3 CERIE Subclasses'!I3:I89)</f>
        <v>3870</v>
      </c>
    </row>
    <row r="8" customFormat="false" ht="15" hidden="false" customHeight="false" outlineLevel="0" collapsed="false">
      <c r="A8" s="16" t="s">
        <v>403</v>
      </c>
      <c r="B8" s="10" t="n">
        <f aca="false">B7/B6*100</f>
        <v>66.7328699106256</v>
      </c>
      <c r="C8" s="10" t="n">
        <f aca="false">C7/C6*100</f>
        <v>75.6154747948417</v>
      </c>
    </row>
    <row r="9" customFormat="false" ht="15" hidden="false" customHeight="false" outlineLevel="0" collapsed="false">
      <c r="A9" s="16" t="s">
        <v>404</v>
      </c>
      <c r="B9" s="15" t="n">
        <f aca="false">SUM('1 Est Subclasses'!J3:J122)</f>
        <v>1250</v>
      </c>
      <c r="C9" s="15" t="n">
        <f aca="false">SUM('3 CERIE Subclasses'!J3:J89)</f>
        <v>726</v>
      </c>
    </row>
    <row r="10" customFormat="false" ht="15" hidden="false" customHeight="false" outlineLevel="0" collapsed="false">
      <c r="A10" s="16" t="s">
        <v>405</v>
      </c>
      <c r="B10" s="15" t="n">
        <f aca="false">COUNT('2 Est Pares'!A3:A342)</f>
        <v>340</v>
      </c>
      <c r="C10" s="15" t="n">
        <f aca="false">COUNT('4 CERIE Pares'!A3:A52)</f>
        <v>50</v>
      </c>
    </row>
    <row r="11" customFormat="false" ht="15" hidden="false" customHeight="false" outlineLevel="0" collapsed="false">
      <c r="A11" s="16" t="s">
        <v>406</v>
      </c>
      <c r="B11" s="17" t="n">
        <f aca="false">MAX('2 Est Pares'!D3:D342)</f>
        <v>0.4309</v>
      </c>
      <c r="C11" s="17" t="n">
        <f aca="false">MAX('4 CERIE Pares'!D3:D52)</f>
        <v>0.2567</v>
      </c>
    </row>
    <row r="12" customFormat="false" ht="15" hidden="false" customHeight="false" outlineLevel="0" collapsed="false">
      <c r="A12" s="16" t="s">
        <v>407</v>
      </c>
      <c r="B12" s="17" t="n">
        <f aca="false">MEDIAN('2 Est Pares'!D3:D342)</f>
        <v>0.1356</v>
      </c>
      <c r="C12" s="17" t="n">
        <f aca="false">MEDIAN('4 CERIE Pares'!D3:D52)</f>
        <v>0.12695</v>
      </c>
    </row>
    <row r="13" customFormat="false" ht="15" hidden="false" customHeight="false" outlineLevel="0" collapsed="false">
      <c r="A13" s="16" t="s">
        <v>408</v>
      </c>
      <c r="B13" s="16" t="str">
        <f aca="false">INDEX('5 Base Municipal'!A3:A226,MATCH(MAX('5 Base Municipal'!B3:B226),'5 Base Municipal'!B3:B226,0))</f>
        <v>União</v>
      </c>
      <c r="C13" s="16" t="str">
        <f aca="false">INDEX('5 Base Municipal'!A3:A226,MATCH(MAX('5 Base Municipal'!D3:D226),'5 Base Municipal'!D3:D226,0))</f>
        <v>União</v>
      </c>
    </row>
    <row r="14" customFormat="false" ht="15" hidden="false" customHeight="false" outlineLevel="0" collapsed="false">
      <c r="A14" s="16" t="s">
        <v>409</v>
      </c>
      <c r="B14" s="16" t="str">
        <f aca="false">INDEX('5 Base Municipal'!A3:A226,MATCH(MAX('5 Base Municipal'!C3:C226),'5 Base Municipal'!C3:C226,0))</f>
        <v>Teresina</v>
      </c>
      <c r="C14" s="16" t="str">
        <f aca="false">INDEX('5 Base Municipal'!A3:A226,MATCH(MAX('5 Base Municipal'!E3:E226),'5 Base Municipal'!E3:E226,0))</f>
        <v>Teresina</v>
      </c>
    </row>
    <row r="15" customFormat="false" ht="15" hidden="false" customHeight="false" outlineLevel="0" collapsed="false">
      <c r="A15" s="16" t="s">
        <v>410</v>
      </c>
      <c r="B15" s="15" t="n">
        <f aca="false">COUNTIF('5 Base Municipal'!B3:B226,"&gt;0")</f>
        <v>185</v>
      </c>
      <c r="C15" s="15" t="n">
        <f aca="false">COUNTIF('5 Base Municipal'!D3:D226,"&gt;0")</f>
        <v>33</v>
      </c>
    </row>
    <row r="17" customFormat="false" ht="15" hidden="false" customHeight="false" outlineLevel="0" collapsed="false">
      <c r="A17" s="14" t="s">
        <v>6</v>
      </c>
      <c r="B17" s="14"/>
      <c r="C17" s="14"/>
    </row>
  </sheetData>
  <mergeCells count="2">
    <mergeCell ref="A1:C1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7" min="3" style="0" width="12"/>
    <col collapsed="false" customWidth="true" hidden="false" outlineLevel="0" max="8" min="8" style="0" width="70"/>
  </cols>
  <sheetData>
    <row r="1" customFormat="false" ht="21.75" hidden="false" customHeight="true" outlineLevel="0" collapsed="false">
      <c r="A1" s="4" t="s">
        <v>411</v>
      </c>
      <c r="B1" s="4"/>
      <c r="C1" s="4"/>
      <c r="D1" s="4"/>
      <c r="E1" s="4"/>
      <c r="F1" s="4"/>
      <c r="G1" s="4"/>
      <c r="H1" s="4"/>
    </row>
    <row r="2" customFormat="false" ht="30" hidden="false" customHeight="true" outlineLevel="0" collapsed="false">
      <c r="A2" s="5" t="s">
        <v>142</v>
      </c>
      <c r="B2" s="5" t="s">
        <v>412</v>
      </c>
      <c r="C2" s="5" t="s">
        <v>413</v>
      </c>
      <c r="D2" s="5" t="s">
        <v>414</v>
      </c>
      <c r="E2" s="5" t="s">
        <v>415</v>
      </c>
      <c r="F2" s="5" t="s">
        <v>416</v>
      </c>
      <c r="G2" s="5" t="s">
        <v>417</v>
      </c>
      <c r="H2" s="5" t="s">
        <v>418</v>
      </c>
    </row>
    <row r="3" customFormat="false" ht="15" hidden="false" customHeight="false" outlineLevel="0" collapsed="false">
      <c r="A3" s="9" t="n">
        <v>1</v>
      </c>
      <c r="B3" s="6" t="s">
        <v>419</v>
      </c>
      <c r="C3" s="8" t="n">
        <v>0.2307</v>
      </c>
      <c r="D3" s="8" t="n">
        <v>0.2567</v>
      </c>
      <c r="E3" s="7" t="n">
        <v>3</v>
      </c>
      <c r="F3" s="7" t="n">
        <v>3</v>
      </c>
      <c r="G3" s="7" t="n">
        <v>3</v>
      </c>
      <c r="H3" s="6" t="s">
        <v>420</v>
      </c>
    </row>
    <row r="4" customFormat="false" ht="15" hidden="false" customHeight="false" outlineLevel="0" collapsed="false">
      <c r="A4" s="9" t="n">
        <v>2</v>
      </c>
      <c r="B4" s="6" t="s">
        <v>421</v>
      </c>
      <c r="C4" s="8" t="n">
        <v>0.231</v>
      </c>
      <c r="D4" s="8" t="n">
        <v>0.2242</v>
      </c>
      <c r="E4" s="7" t="n">
        <v>6</v>
      </c>
      <c r="F4" s="7" t="n">
        <v>6</v>
      </c>
      <c r="G4" s="7" t="n">
        <v>6</v>
      </c>
      <c r="H4" s="6" t="s">
        <v>422</v>
      </c>
    </row>
    <row r="5" customFormat="false" ht="15" hidden="false" customHeight="false" outlineLevel="0" collapsed="false">
      <c r="A5" s="9" t="n">
        <v>3</v>
      </c>
      <c r="B5" s="6" t="s">
        <v>423</v>
      </c>
      <c r="C5" s="8" t="n">
        <v>0.1812</v>
      </c>
      <c r="D5" s="8" t="n">
        <v>0.2306</v>
      </c>
      <c r="E5" s="7" t="n">
        <v>3</v>
      </c>
      <c r="F5" s="7" t="n">
        <v>3</v>
      </c>
      <c r="G5" s="7" t="n">
        <v>3</v>
      </c>
      <c r="H5" s="6" t="s">
        <v>424</v>
      </c>
    </row>
    <row r="6" customFormat="false" ht="15" hidden="false" customHeight="false" outlineLevel="0" collapsed="false">
      <c r="A6" s="9" t="n">
        <v>4</v>
      </c>
      <c r="B6" s="6" t="s">
        <v>425</v>
      </c>
      <c r="C6" s="8" t="n">
        <v>0.211</v>
      </c>
      <c r="D6" s="8" t="n">
        <v>0.2004</v>
      </c>
      <c r="E6" s="7" t="n">
        <v>10</v>
      </c>
      <c r="F6" s="7" t="n">
        <v>8</v>
      </c>
      <c r="G6" s="7" t="n">
        <v>8</v>
      </c>
      <c r="H6" s="6" t="s">
        <v>426</v>
      </c>
    </row>
    <row r="7" customFormat="false" ht="15" hidden="false" customHeight="false" outlineLevel="0" collapsed="false">
      <c r="A7" s="9" t="n">
        <v>5</v>
      </c>
      <c r="B7" s="6" t="s">
        <v>427</v>
      </c>
      <c r="C7" s="8" t="n">
        <v>0.1773</v>
      </c>
      <c r="D7" s="8" t="n">
        <v>0.1874</v>
      </c>
      <c r="E7" s="7" t="n">
        <v>5</v>
      </c>
      <c r="F7" s="7" t="n">
        <v>5</v>
      </c>
      <c r="G7" s="7" t="n">
        <v>5</v>
      </c>
      <c r="H7" s="6" t="s">
        <v>428</v>
      </c>
    </row>
    <row r="8" customFormat="false" ht="15" hidden="false" customHeight="false" outlineLevel="0" collapsed="false">
      <c r="A8" s="9" t="n">
        <v>6</v>
      </c>
      <c r="B8" s="6" t="s">
        <v>429</v>
      </c>
      <c r="C8" s="8" t="n">
        <v>0.176</v>
      </c>
      <c r="D8" s="8" t="n">
        <v>0.179</v>
      </c>
      <c r="E8" s="7" t="n">
        <v>12</v>
      </c>
      <c r="F8" s="7" t="n">
        <v>13</v>
      </c>
      <c r="G8" s="7" t="n">
        <v>11</v>
      </c>
      <c r="H8" s="6" t="s">
        <v>430</v>
      </c>
    </row>
    <row r="9" customFormat="false" ht="15" hidden="false" customHeight="false" outlineLevel="0" collapsed="false">
      <c r="A9" s="9" t="n">
        <v>7</v>
      </c>
      <c r="B9" s="6" t="s">
        <v>431</v>
      </c>
      <c r="C9" s="8" t="n">
        <v>0.1699</v>
      </c>
      <c r="D9" s="8" t="n">
        <v>0.1687</v>
      </c>
      <c r="E9" s="7" t="n">
        <v>7</v>
      </c>
      <c r="F9" s="7" t="n">
        <v>9</v>
      </c>
      <c r="G9" s="7" t="n">
        <v>7</v>
      </c>
      <c r="H9" s="6" t="s">
        <v>432</v>
      </c>
    </row>
    <row r="10" customFormat="false" ht="15" hidden="false" customHeight="false" outlineLevel="0" collapsed="false">
      <c r="A10" s="9" t="n">
        <v>8</v>
      </c>
      <c r="B10" s="6" t="s">
        <v>433</v>
      </c>
      <c r="C10" s="8" t="n">
        <v>0.1574</v>
      </c>
      <c r="D10" s="8" t="n">
        <v>0.1739</v>
      </c>
      <c r="E10" s="7" t="n">
        <v>6</v>
      </c>
      <c r="F10" s="7" t="n">
        <v>6</v>
      </c>
      <c r="G10" s="7" t="n">
        <v>5</v>
      </c>
      <c r="H10" s="6" t="s">
        <v>434</v>
      </c>
    </row>
    <row r="11" customFormat="false" ht="15" hidden="false" customHeight="false" outlineLevel="0" collapsed="false">
      <c r="A11" s="9" t="n">
        <v>9</v>
      </c>
      <c r="B11" s="6" t="s">
        <v>435</v>
      </c>
      <c r="C11" s="8" t="n">
        <v>0.1476</v>
      </c>
      <c r="D11" s="8" t="n">
        <v>0.1768</v>
      </c>
      <c r="E11" s="7" t="n">
        <v>2</v>
      </c>
      <c r="F11" s="7" t="n">
        <v>2</v>
      </c>
      <c r="G11" s="7" t="n">
        <v>2</v>
      </c>
      <c r="H11" s="6" t="s">
        <v>436</v>
      </c>
    </row>
    <row r="12" customFormat="false" ht="15" hidden="false" customHeight="false" outlineLevel="0" collapsed="false">
      <c r="A12" s="9" t="n">
        <v>10</v>
      </c>
      <c r="B12" s="6" t="s">
        <v>437</v>
      </c>
      <c r="C12" s="8" t="n">
        <v>0.1461</v>
      </c>
      <c r="D12" s="8" t="n">
        <v>0.1761</v>
      </c>
      <c r="E12" s="7" t="n">
        <v>8</v>
      </c>
      <c r="F12" s="7" t="n">
        <v>8</v>
      </c>
      <c r="G12" s="7" t="n">
        <v>8</v>
      </c>
      <c r="H12" s="6" t="s">
        <v>438</v>
      </c>
    </row>
    <row r="13" customFormat="false" ht="15" hidden="false" customHeight="false" outlineLevel="0" collapsed="false">
      <c r="A13" s="9" t="n">
        <v>11</v>
      </c>
      <c r="B13" s="6" t="s">
        <v>439</v>
      </c>
      <c r="C13" s="8" t="n">
        <v>0.1516</v>
      </c>
      <c r="D13" s="8" t="n">
        <v>0.1644</v>
      </c>
      <c r="E13" s="7" t="n">
        <v>3</v>
      </c>
      <c r="F13" s="7" t="n">
        <v>4</v>
      </c>
      <c r="G13" s="7" t="n">
        <v>3</v>
      </c>
      <c r="H13" s="6" t="s">
        <v>440</v>
      </c>
    </row>
    <row r="14" customFormat="false" ht="15" hidden="false" customHeight="false" outlineLevel="0" collapsed="false">
      <c r="A14" s="9" t="n">
        <v>12</v>
      </c>
      <c r="B14" s="6" t="s">
        <v>441</v>
      </c>
      <c r="C14" s="8" t="n">
        <v>0.1523</v>
      </c>
      <c r="D14" s="8" t="n">
        <v>0.1591</v>
      </c>
      <c r="E14" s="7" t="n">
        <v>12</v>
      </c>
      <c r="F14" s="7" t="n">
        <v>8</v>
      </c>
      <c r="G14" s="7" t="n">
        <v>7</v>
      </c>
      <c r="H14" s="6" t="s">
        <v>442</v>
      </c>
    </row>
    <row r="15" customFormat="false" ht="15" hidden="false" customHeight="false" outlineLevel="0" collapsed="false">
      <c r="A15" s="9" t="n">
        <v>13</v>
      </c>
      <c r="B15" s="6" t="s">
        <v>443</v>
      </c>
      <c r="C15" s="8" t="n">
        <v>0.1591</v>
      </c>
      <c r="D15" s="8" t="n">
        <v>0.1445</v>
      </c>
      <c r="E15" s="7" t="n">
        <v>7</v>
      </c>
      <c r="F15" s="7" t="n">
        <v>6</v>
      </c>
      <c r="G15" s="7" t="n">
        <v>6</v>
      </c>
      <c r="H15" s="6" t="s">
        <v>444</v>
      </c>
    </row>
    <row r="16" customFormat="false" ht="15" hidden="false" customHeight="false" outlineLevel="0" collapsed="false">
      <c r="A16" s="9" t="n">
        <v>14</v>
      </c>
      <c r="B16" s="6" t="s">
        <v>445</v>
      </c>
      <c r="C16" s="8" t="n">
        <v>0.144</v>
      </c>
      <c r="D16" s="8" t="n">
        <v>0.1593</v>
      </c>
      <c r="E16" s="7" t="n">
        <v>4</v>
      </c>
      <c r="F16" s="7" t="n">
        <v>4</v>
      </c>
      <c r="G16" s="7" t="n">
        <v>4</v>
      </c>
      <c r="H16" s="6" t="s">
        <v>446</v>
      </c>
    </row>
    <row r="17" customFormat="false" ht="15" hidden="false" customHeight="false" outlineLevel="0" collapsed="false">
      <c r="A17" s="9" t="n">
        <v>15</v>
      </c>
      <c r="B17" s="6" t="s">
        <v>447</v>
      </c>
      <c r="C17" s="8" t="n">
        <v>0.151</v>
      </c>
      <c r="D17" s="8" t="n">
        <v>0.1411</v>
      </c>
      <c r="E17" s="7" t="n">
        <v>7</v>
      </c>
      <c r="F17" s="7" t="n">
        <v>7</v>
      </c>
      <c r="G17" s="7" t="n">
        <v>7</v>
      </c>
      <c r="H17" s="6" t="s">
        <v>448</v>
      </c>
    </row>
    <row r="18" customFormat="false" ht="15" hidden="false" customHeight="false" outlineLevel="0" collapsed="false">
      <c r="A18" s="9" t="n">
        <v>16</v>
      </c>
      <c r="B18" s="6" t="s">
        <v>449</v>
      </c>
      <c r="C18" s="8" t="n">
        <v>0.152</v>
      </c>
      <c r="D18" s="8" t="n">
        <v>0.1395</v>
      </c>
      <c r="E18" s="7" t="n">
        <v>8</v>
      </c>
      <c r="F18" s="7" t="n">
        <v>9</v>
      </c>
      <c r="G18" s="7" t="n">
        <v>8</v>
      </c>
      <c r="H18" s="6" t="s">
        <v>450</v>
      </c>
    </row>
    <row r="19" customFormat="false" ht="15" hidden="false" customHeight="false" outlineLevel="0" collapsed="false">
      <c r="A19" s="9" t="n">
        <v>17</v>
      </c>
      <c r="B19" s="6" t="s">
        <v>451</v>
      </c>
      <c r="C19" s="8" t="n">
        <v>0.1607</v>
      </c>
      <c r="D19" s="8" t="n">
        <v>0.1251</v>
      </c>
      <c r="E19" s="7" t="n">
        <v>7</v>
      </c>
      <c r="F19" s="7" t="n">
        <v>5</v>
      </c>
      <c r="G19" s="7" t="n">
        <v>5</v>
      </c>
      <c r="H19" s="6" t="s">
        <v>452</v>
      </c>
    </row>
    <row r="20" customFormat="false" ht="15" hidden="false" customHeight="false" outlineLevel="0" collapsed="false">
      <c r="A20" s="9" t="n">
        <v>18</v>
      </c>
      <c r="B20" s="6" t="s">
        <v>453</v>
      </c>
      <c r="C20" s="8" t="n">
        <v>0.1463</v>
      </c>
      <c r="D20" s="8" t="n">
        <v>0.1341</v>
      </c>
      <c r="E20" s="7" t="n">
        <v>5</v>
      </c>
      <c r="F20" s="7" t="n">
        <v>6</v>
      </c>
      <c r="G20" s="7" t="n">
        <v>5</v>
      </c>
      <c r="H20" s="6" t="s">
        <v>452</v>
      </c>
    </row>
    <row r="21" customFormat="false" ht="15" hidden="false" customHeight="false" outlineLevel="0" collapsed="false">
      <c r="A21" s="9" t="n">
        <v>19</v>
      </c>
      <c r="B21" s="6" t="s">
        <v>454</v>
      </c>
      <c r="C21" s="8" t="n">
        <v>0.1552</v>
      </c>
      <c r="D21" s="8" t="n">
        <v>0.121</v>
      </c>
      <c r="E21" s="7" t="n">
        <v>10</v>
      </c>
      <c r="F21" s="7" t="n">
        <v>8</v>
      </c>
      <c r="G21" s="7" t="n">
        <v>8</v>
      </c>
      <c r="H21" s="6" t="s">
        <v>455</v>
      </c>
    </row>
    <row r="22" customFormat="false" ht="15" hidden="false" customHeight="false" outlineLevel="0" collapsed="false">
      <c r="A22" s="9" t="n">
        <v>20</v>
      </c>
      <c r="B22" s="6" t="s">
        <v>456</v>
      </c>
      <c r="C22" s="8" t="n">
        <v>0.149</v>
      </c>
      <c r="D22" s="8" t="n">
        <v>0.1225</v>
      </c>
      <c r="E22" s="7" t="n">
        <v>10</v>
      </c>
      <c r="F22" s="7" t="n">
        <v>7</v>
      </c>
      <c r="G22" s="7" t="n">
        <v>7</v>
      </c>
      <c r="H22" s="6" t="s">
        <v>457</v>
      </c>
    </row>
    <row r="23" customFormat="false" ht="15" hidden="false" customHeight="false" outlineLevel="0" collapsed="false">
      <c r="A23" s="9" t="n">
        <v>21</v>
      </c>
      <c r="B23" s="6" t="s">
        <v>458</v>
      </c>
      <c r="C23" s="8" t="n">
        <v>0.1232</v>
      </c>
      <c r="D23" s="8" t="n">
        <v>0.1426</v>
      </c>
      <c r="E23" s="7" t="n">
        <v>5</v>
      </c>
      <c r="F23" s="7" t="n">
        <v>5</v>
      </c>
      <c r="G23" s="7" t="n">
        <v>5</v>
      </c>
      <c r="H23" s="6" t="s">
        <v>459</v>
      </c>
    </row>
    <row r="24" customFormat="false" ht="15" hidden="false" customHeight="false" outlineLevel="0" collapsed="false">
      <c r="A24" s="9" t="n">
        <v>22</v>
      </c>
      <c r="B24" s="6" t="s">
        <v>460</v>
      </c>
      <c r="C24" s="8" t="n">
        <v>0.098</v>
      </c>
      <c r="D24" s="8" t="n">
        <v>0.1549</v>
      </c>
      <c r="E24" s="7" t="n">
        <v>5</v>
      </c>
      <c r="F24" s="7" t="n">
        <v>4</v>
      </c>
      <c r="G24" s="7" t="n">
        <v>3</v>
      </c>
      <c r="H24" s="6" t="s">
        <v>461</v>
      </c>
    </row>
    <row r="25" customFormat="false" ht="15" hidden="false" customHeight="false" outlineLevel="0" collapsed="false">
      <c r="A25" s="9" t="n">
        <v>23</v>
      </c>
      <c r="B25" s="6" t="s">
        <v>462</v>
      </c>
      <c r="C25" s="8" t="n">
        <v>0.126</v>
      </c>
      <c r="D25" s="8" t="n">
        <v>0.1244</v>
      </c>
      <c r="E25" s="7" t="n">
        <v>7</v>
      </c>
      <c r="F25" s="7" t="n">
        <v>7</v>
      </c>
      <c r="G25" s="7" t="n">
        <v>6</v>
      </c>
      <c r="H25" s="6" t="s">
        <v>463</v>
      </c>
    </row>
    <row r="26" customFormat="false" ht="15" hidden="false" customHeight="false" outlineLevel="0" collapsed="false">
      <c r="A26" s="9" t="n">
        <v>24</v>
      </c>
      <c r="B26" s="6" t="s">
        <v>464</v>
      </c>
      <c r="C26" s="8" t="n">
        <v>0.1317</v>
      </c>
      <c r="D26" s="8" t="n">
        <v>0.1183</v>
      </c>
      <c r="E26" s="7" t="n">
        <v>7</v>
      </c>
      <c r="F26" s="7" t="n">
        <v>6</v>
      </c>
      <c r="G26" s="7" t="n">
        <v>6</v>
      </c>
      <c r="H26" s="6" t="s">
        <v>444</v>
      </c>
    </row>
    <row r="27" customFormat="false" ht="15" hidden="false" customHeight="false" outlineLevel="0" collapsed="false">
      <c r="A27" s="9" t="n">
        <v>25</v>
      </c>
      <c r="B27" s="6" t="s">
        <v>465</v>
      </c>
      <c r="C27" s="8" t="n">
        <v>0.1141</v>
      </c>
      <c r="D27" s="8" t="n">
        <v>0.1288</v>
      </c>
      <c r="E27" s="7" t="n">
        <v>5</v>
      </c>
      <c r="F27" s="7" t="n">
        <v>5</v>
      </c>
      <c r="G27" s="7" t="n">
        <v>5</v>
      </c>
      <c r="H27" s="6" t="s">
        <v>466</v>
      </c>
    </row>
    <row r="28" customFormat="false" ht="15" hidden="false" customHeight="false" outlineLevel="0" collapsed="false">
      <c r="A28" s="9" t="n">
        <v>26</v>
      </c>
      <c r="B28" s="6" t="s">
        <v>467</v>
      </c>
      <c r="C28" s="8" t="n">
        <v>0.124</v>
      </c>
      <c r="D28" s="8" t="n">
        <v>0.1187</v>
      </c>
      <c r="E28" s="7" t="n">
        <v>9</v>
      </c>
      <c r="F28" s="7" t="n">
        <v>7</v>
      </c>
      <c r="G28" s="7" t="n">
        <v>7</v>
      </c>
      <c r="H28" s="6" t="s">
        <v>468</v>
      </c>
    </row>
    <row r="29" customFormat="false" ht="15" hidden="false" customHeight="false" outlineLevel="0" collapsed="false">
      <c r="A29" s="9" t="n">
        <v>27</v>
      </c>
      <c r="B29" s="6" t="s">
        <v>469</v>
      </c>
      <c r="C29" s="8" t="n">
        <v>0.1137</v>
      </c>
      <c r="D29" s="8" t="n">
        <v>0.1138</v>
      </c>
      <c r="E29" s="7" t="n">
        <v>4</v>
      </c>
      <c r="F29" s="7" t="n">
        <v>4</v>
      </c>
      <c r="G29" s="7" t="n">
        <v>4</v>
      </c>
      <c r="H29" s="6" t="s">
        <v>470</v>
      </c>
    </row>
    <row r="30" customFormat="false" ht="15" hidden="false" customHeight="false" outlineLevel="0" collapsed="false">
      <c r="A30" s="9" t="n">
        <v>28</v>
      </c>
      <c r="B30" s="6" t="s">
        <v>471</v>
      </c>
      <c r="C30" s="8" t="n">
        <v>0.1097</v>
      </c>
      <c r="D30" s="8" t="n">
        <v>0.1145</v>
      </c>
      <c r="E30" s="7" t="n">
        <v>4</v>
      </c>
      <c r="F30" s="7" t="n">
        <v>4</v>
      </c>
      <c r="G30" s="7" t="n">
        <v>4</v>
      </c>
      <c r="H30" s="6" t="s">
        <v>472</v>
      </c>
    </row>
    <row r="31" customFormat="false" ht="15" hidden="false" customHeight="false" outlineLevel="0" collapsed="false">
      <c r="A31" s="9" t="n">
        <v>29</v>
      </c>
      <c r="B31" s="6" t="s">
        <v>473</v>
      </c>
      <c r="C31" s="8" t="n">
        <v>0.1001</v>
      </c>
      <c r="D31" s="8" t="n">
        <v>0.1156</v>
      </c>
      <c r="E31" s="7" t="n">
        <v>6</v>
      </c>
      <c r="F31" s="7" t="n">
        <v>5</v>
      </c>
      <c r="G31" s="7" t="n">
        <v>5</v>
      </c>
      <c r="H31" s="6" t="s">
        <v>474</v>
      </c>
    </row>
    <row r="32" customFormat="false" ht="15" hidden="false" customHeight="false" outlineLevel="0" collapsed="false">
      <c r="A32" s="9" t="n">
        <v>30</v>
      </c>
      <c r="B32" s="6" t="s">
        <v>475</v>
      </c>
      <c r="C32" s="8" t="n">
        <v>0.1093</v>
      </c>
      <c r="D32" s="8" t="n">
        <v>0.1043</v>
      </c>
      <c r="E32" s="7" t="n">
        <v>3</v>
      </c>
      <c r="F32" s="7" t="n">
        <v>2</v>
      </c>
      <c r="G32" s="7" t="n">
        <v>2</v>
      </c>
      <c r="H32" s="6" t="s">
        <v>476</v>
      </c>
    </row>
    <row r="33" customFormat="false" ht="15" hidden="false" customHeight="false" outlineLevel="0" collapsed="false">
      <c r="A33" s="9" t="n">
        <v>31</v>
      </c>
      <c r="B33" s="6" t="s">
        <v>477</v>
      </c>
      <c r="C33" s="8" t="n">
        <v>0.1081</v>
      </c>
      <c r="D33" s="8" t="n">
        <v>0.1053</v>
      </c>
      <c r="E33" s="7" t="n">
        <v>4</v>
      </c>
      <c r="F33" s="7" t="n">
        <v>4</v>
      </c>
      <c r="G33" s="7" t="n">
        <v>4</v>
      </c>
      <c r="H33" s="6" t="s">
        <v>470</v>
      </c>
    </row>
    <row r="34" customFormat="false" ht="15" hidden="false" customHeight="false" outlineLevel="0" collapsed="false">
      <c r="A34" s="9" t="n">
        <v>32</v>
      </c>
      <c r="B34" s="6" t="s">
        <v>478</v>
      </c>
      <c r="C34" s="8" t="n">
        <v>0.0698</v>
      </c>
      <c r="D34" s="8" t="n">
        <v>0.0842</v>
      </c>
      <c r="E34" s="7" t="n">
        <v>3</v>
      </c>
      <c r="F34" s="7" t="n">
        <v>6</v>
      </c>
      <c r="G34" s="7" t="n">
        <v>3</v>
      </c>
      <c r="H34" s="6" t="s">
        <v>479</v>
      </c>
    </row>
    <row r="36" customFormat="false" ht="15" hidden="false" customHeight="false" outlineLevel="0" collapsed="false">
      <c r="A36" s="14" t="s">
        <v>6</v>
      </c>
      <c r="B36" s="14"/>
      <c r="C36" s="14"/>
      <c r="D36" s="14"/>
      <c r="E36" s="14"/>
      <c r="F36" s="14"/>
      <c r="G36" s="14"/>
      <c r="H36" s="14"/>
    </row>
  </sheetData>
  <autoFilter ref="A2:H34"/>
  <mergeCells count="2">
    <mergeCell ref="A1:H1"/>
    <mergeCell ref="A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2026-08-06T13:27:29Z</dcterms:created>
  <dc:creator>openpyxl</dc:creator>
  <dc:description/>
  <dc:language>en-US</dc:language>
  <cp:lastModifiedBy/>
  <dcterms:modified xsi:type="dcterms:W3CDTF">2026-08-06T13:27:29Z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